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<sst xmlns="http://schemas.openxmlformats.org/spreadsheetml/2006/main" count="673" uniqueCount="239">
  <si>
    <t>Body weight (kg)</t>
  </si>
  <si>
    <t>BMI (kg/m2)</t>
  </si>
  <si>
    <t>Waist to hip ratio</t>
  </si>
  <si>
    <t>Systolic blood pressure (mm Hg)</t>
  </si>
  <si>
    <t>Diastolic blood pressure (mm Hg)</t>
  </si>
  <si>
    <t xml:space="preserve"> Serum SHBG (nmol/L)</t>
  </si>
  <si>
    <t>Serum Testosterone (ng/dL)</t>
  </si>
  <si>
    <t>Free Testosterone (ng/dl)</t>
  </si>
  <si>
    <t>Total Testosterone(ng/dl)</t>
  </si>
  <si>
    <t>Free androgen index</t>
  </si>
  <si>
    <r>
      <rPr>
        <sz val="11"/>
        <color theme="1"/>
        <rFont val="Calibri"/>
        <charset val="134"/>
        <scheme val="minor"/>
      </rPr>
      <t>DHEAS (</t>
    </r>
    <r>
      <rPr>
        <sz val="11"/>
        <color theme="1"/>
        <rFont val="Calibri"/>
        <charset val="134"/>
      </rPr>
      <t>µg/ml)</t>
    </r>
  </si>
  <si>
    <t>Fasting glucose (mg/dL)</t>
  </si>
  <si>
    <t xml:space="preserve"> Fasting Insulin (µIU/ml)</t>
  </si>
  <si>
    <t xml:space="preserve">G/I Ratio </t>
  </si>
  <si>
    <t>HOMA-IR</t>
  </si>
  <si>
    <t>QUICKI</t>
  </si>
  <si>
    <t>LH (IU/L)</t>
  </si>
  <si>
    <t>FSH (IU/L)</t>
  </si>
  <si>
    <t>LH/FSH ratio</t>
  </si>
  <si>
    <t>Estradiol (pg/ml)</t>
  </si>
  <si>
    <t>Progesterone (ng/ml)</t>
  </si>
  <si>
    <t>Prolactin (ng/ml)</t>
  </si>
  <si>
    <t>Androstenedione (ng/dl)</t>
  </si>
  <si>
    <t>GH (ng/ml)</t>
  </si>
  <si>
    <t>total (n) Cholesterol (mg/dl)</t>
  </si>
  <si>
    <t>Triglycerides (mg/dl)</t>
  </si>
  <si>
    <t>LDL (mg/dl)</t>
  </si>
  <si>
    <t>HDL (mg/dl)</t>
  </si>
  <si>
    <t>VLDL (mg/dl)</t>
  </si>
  <si>
    <t>Ferriman-Gallway score</t>
  </si>
  <si>
    <t>Ovarian volume (ml)</t>
  </si>
  <si>
    <t>Beta cell function</t>
  </si>
  <si>
    <t>Ovulation rate (%)</t>
  </si>
  <si>
    <t>menstrual bleeding (%)</t>
  </si>
  <si>
    <t>Total</t>
  </si>
  <si>
    <t>Glucose AUC (mmol/L/min)</t>
  </si>
  <si>
    <t>Insulin AUC (ug/ml/min)</t>
  </si>
  <si>
    <r>
      <rPr>
        <sz val="11"/>
        <color theme="1"/>
        <rFont val="Calibri"/>
        <charset val="134"/>
        <scheme val="minor"/>
      </rPr>
      <t>ISIcomp (mg</t>
    </r>
    <r>
      <rPr>
        <vertAlign val="super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>/dl</t>
    </r>
    <r>
      <rPr>
        <vertAlign val="super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>)</t>
    </r>
  </si>
  <si>
    <t>17 0HP (ng/ml)</t>
  </si>
  <si>
    <t>Insulin (mcg/ml)</t>
  </si>
  <si>
    <t>C-peptide (mcg/L)</t>
  </si>
  <si>
    <t>Cortisol (ng/ml)</t>
  </si>
  <si>
    <t xml:space="preserve">Matsuda index </t>
  </si>
  <si>
    <t>High sensitive C - reactive protein (mg/L)</t>
  </si>
  <si>
    <t>Nitric Oxide (micromol/L)</t>
  </si>
  <si>
    <t>Antral follicle count</t>
  </si>
  <si>
    <t>anti-Mullerian hormone (ng/ml)</t>
  </si>
  <si>
    <t>No of patients</t>
  </si>
  <si>
    <t>Myoinositol</t>
  </si>
  <si>
    <t>Placebo</t>
  </si>
  <si>
    <t>Total (n)</t>
  </si>
  <si>
    <t>Myoinsitol</t>
  </si>
  <si>
    <t>Sr No.</t>
  </si>
  <si>
    <t>References</t>
  </si>
  <si>
    <t>Type of study</t>
  </si>
  <si>
    <t>Method of allocation</t>
  </si>
  <si>
    <t>Allocation concealed?</t>
  </si>
  <si>
    <t>Masking</t>
  </si>
  <si>
    <t>Study sight</t>
  </si>
  <si>
    <t>Study period</t>
  </si>
  <si>
    <t>PCOS diagnostic criteria</t>
  </si>
  <si>
    <t xml:space="preserve">Inclusion criteria </t>
  </si>
  <si>
    <t xml:space="preserve">Age </t>
  </si>
  <si>
    <t>Interventions</t>
  </si>
  <si>
    <t>No. of patients</t>
  </si>
  <si>
    <t>Duration</t>
  </si>
  <si>
    <t>outcome measures</t>
  </si>
  <si>
    <t xml:space="preserve">Mean </t>
  </si>
  <si>
    <t>SD</t>
  </si>
  <si>
    <t>total (n)</t>
  </si>
  <si>
    <t>Mean</t>
  </si>
  <si>
    <t>mean</t>
  </si>
  <si>
    <t>total</t>
  </si>
  <si>
    <t xml:space="preserve">SD </t>
  </si>
  <si>
    <t xml:space="preserve">mean </t>
  </si>
  <si>
    <t>Constantino et.al. 2009</t>
  </si>
  <si>
    <t>Randomized, Double blind, Placebo controlled trial</t>
  </si>
  <si>
    <t>Randomly</t>
  </si>
  <si>
    <t>yes</t>
  </si>
  <si>
    <t>12-16 weeks</t>
  </si>
  <si>
    <t>PCOS affected with oligomenorrhoea, hirsutism, high serum free testosterone</t>
  </si>
  <si>
    <t>18-40 years</t>
  </si>
  <si>
    <t>Myoinositol 4 gm+ Folic acid 400 mcg Vs Folic acid 400 mcg</t>
  </si>
  <si>
    <t>23 Vs 19</t>
  </si>
  <si>
    <t>WHR, Bmi, Free testosterone, Androstendione, DHEAS, total testosterone, 17 beta estradiol, SHBG, Cholesterol, Glucose AUC, Blood pressure</t>
  </si>
  <si>
    <t>Artini  et.al. 2012</t>
  </si>
  <si>
    <t>Randomised Controlled Study</t>
  </si>
  <si>
    <t>Computer Generated Randomisation</t>
  </si>
  <si>
    <t xml:space="preserve">Department Of Reproductive Medicine And Child Development Division Of Obstretic And Gynaecology University Of Pisa,Italy </t>
  </si>
  <si>
    <t>April 2008- April 2009</t>
  </si>
  <si>
    <t>Rotterdam criteria</t>
  </si>
  <si>
    <t>presence of micropolycystic ovaries, mild to moderate hirsutism, oligommenorrhea or amenorrhea, absence of other endocrine disease, no hormonal treatment</t>
  </si>
  <si>
    <t>Myo-inositol 2 gm+ Folic Acid 400 mcg Vs Folic Acid 400 mcg</t>
  </si>
  <si>
    <t>25 Vs 25</t>
  </si>
  <si>
    <t>12 weeks</t>
  </si>
  <si>
    <t>Plasma LH, FSH, Prolactin, E2, 17OHP, A, T, Glucose, Insulin, C peptide concentration, BMI, HOMA index, Glucose to insulin ratio</t>
  </si>
  <si>
    <t>Genazzani et.al. 2008</t>
  </si>
  <si>
    <t>Randomized Controlled study</t>
  </si>
  <si>
    <t>University of Modena and Reggio, Emilia, Italy</t>
  </si>
  <si>
    <t>Myo-inositol 2 gm+ Folic Acid 200 mcg Vs Folic Acid 200 mcg</t>
  </si>
  <si>
    <t>10 Vs 10</t>
  </si>
  <si>
    <t>LH, FSH, PRL, Estradiol, Testosterone, 17-Hydroxyprogesterone, Androstendione, C-peptide, Insulin, LH/FSH, BMI Glucose/Insulin, HOMA index</t>
  </si>
  <si>
    <t>Pourghasem et.al. 2018</t>
  </si>
  <si>
    <t xml:space="preserve">table of random numbers </t>
  </si>
  <si>
    <t>Clinic of Hormozgan University of Medical Sciences, Hormozgan, Iran</t>
  </si>
  <si>
    <t>2015- 2016</t>
  </si>
  <si>
    <t>Oligo and/or anovulation, hyperandrogenism, and polycystic ovaries on ultrasound scan, inability to get pregnant despite having unprotected intercouse for atleast a year; absence of tubal, anatomic and male factors; intact terine cavity and normal level of thyroid hormones.</t>
  </si>
  <si>
    <t>15- 38 years</t>
  </si>
  <si>
    <t xml:space="preserve">Myo-inositol 2 gm+ Folic acid 200mcg Vs Folic acid 200 mcg </t>
  </si>
  <si>
    <t>50 Vs 50</t>
  </si>
  <si>
    <t>FBS, infertility, triglyceride, cholestrol, LH/FSH, Menstrual pattern (Amenorrhea, Oligomenorrhea, normal)</t>
  </si>
  <si>
    <t>10% - normal</t>
  </si>
  <si>
    <t>8% - normal</t>
  </si>
  <si>
    <t>Gerli S. et.al.2007</t>
  </si>
  <si>
    <t>Dounle blind randomized Controlled study</t>
  </si>
  <si>
    <t>16 week</t>
  </si>
  <si>
    <t>oligomenorrhoea with polycystic ovaries by using transvaginal ultra-sound</t>
  </si>
  <si>
    <t>age&lt;35 years,oligomenorrhea</t>
  </si>
  <si>
    <t>&lt;35 years</t>
  </si>
  <si>
    <t>Myoinositol 4 gm + Folic acid 400 mcg   vs  Placebo</t>
  </si>
  <si>
    <t>45 Vs 47</t>
  </si>
  <si>
    <t>16 weeks</t>
  </si>
  <si>
    <t>E2, androstenedione,LH, FSH, triglyceride,cholesterol,LDL, HDL, GTT</t>
  </si>
  <si>
    <t>???</t>
  </si>
  <si>
    <t>Dona et. Al. 2012</t>
  </si>
  <si>
    <t>Computer Generated Randomisation (Excel)</t>
  </si>
  <si>
    <t xml:space="preserve">Department Of Medical and Surgical Sciences of University of Padua, Italy </t>
  </si>
  <si>
    <t>oligo or anovulation (&lt;8 menstrual cycles/year), signs of hyperandrogenism, polycystic ovaries</t>
  </si>
  <si>
    <t>22-30</t>
  </si>
  <si>
    <t xml:space="preserve">Myoinositol 1200 mg    vs  Placebo </t>
  </si>
  <si>
    <t>18 Vs 8</t>
  </si>
  <si>
    <t>Weight, BMI, Blood Pressure, S. Testosterone, S. androstenedione, fasting serum insulin, fasting serum glucose, HOMA</t>
  </si>
  <si>
    <t>Papaleo et.al. 2009</t>
  </si>
  <si>
    <t>Randomization through table formation</t>
  </si>
  <si>
    <t>Gynaecology department, San Rafalle hospital, Italy</t>
  </si>
  <si>
    <t>12 months</t>
  </si>
  <si>
    <t>oligomenhorrhea and already PCOS detected</t>
  </si>
  <si>
    <t>Oligomenhorrhea, hyperandrogenism (hirsutism. Acne, alopecia)</t>
  </si>
  <si>
    <t>&lt;40 years</t>
  </si>
  <si>
    <t>Myoinsoitol 4000mg + Folic Acid 400mcg VS Folic Acid 400mcg</t>
  </si>
  <si>
    <t>30 Vs 30</t>
  </si>
  <si>
    <t>Age, Duration of infertility, BMI, Prolactin, TSH, duration of stimulation, number of cancel cycles</t>
  </si>
  <si>
    <t>Fruzzeti et. al. 2016</t>
  </si>
  <si>
    <t>Randomized study</t>
  </si>
  <si>
    <t>Randomlzation through table</t>
  </si>
  <si>
    <t>Clinic of Reproductive Endocrinology of University of Pisa</t>
  </si>
  <si>
    <t>2014-2015</t>
  </si>
  <si>
    <t>Oligomenhorrhea, hyperinsulinemia or insulin resistance (Hirsutism,acne)</t>
  </si>
  <si>
    <t>18 - 28 years</t>
  </si>
  <si>
    <t>Myoinositol 4000mg+ Folic Acid 400mcg Vs Metformin 1500mg</t>
  </si>
  <si>
    <t>24 Vs 22</t>
  </si>
  <si>
    <t>Age, , BMI, Prolactin, TSH, HOMA, Insulin AUC, LH, FSH, menstrual, matsuda index, Estradiol, Prolactin, Total testosterone, Androstenedione, DHEAS, 17-OHP, Cortisol</t>
  </si>
  <si>
    <t>Jamilian M. et.al. 2017</t>
  </si>
  <si>
    <t>Computer generated randomization</t>
  </si>
  <si>
    <t>Kosar Clinic in Arak, Iran</t>
  </si>
  <si>
    <t>November 2016 - February 2017</t>
  </si>
  <si>
    <t>Age 18 - 40 years with PCOS</t>
  </si>
  <si>
    <t>18 - 40 years</t>
  </si>
  <si>
    <t>Myoinsoitol 2000mg + Folic Acid 200mcg VS Metformin 1500 mg</t>
  </si>
  <si>
    <t>4 months</t>
  </si>
  <si>
    <t>Total testosterone, Modified Ferriman Score, Gallwey score, SHBG, DHEAS, C-reactive protein</t>
  </si>
  <si>
    <t>Raffone et.al. 2010</t>
  </si>
  <si>
    <t>no</t>
  </si>
  <si>
    <t>Obstetrics and Gynecology Department, G. Martino Hospital, Messina, Italy</t>
  </si>
  <si>
    <t>June 2006 - June 2008</t>
  </si>
  <si>
    <t>aged &lt; 35 years, with PCOS</t>
  </si>
  <si>
    <t>Age &lt; 35 years</t>
  </si>
  <si>
    <t xml:space="preserve"> Myoinositol 4000 mg plus 400 mg folic acid Vs Metformin 1500 mg</t>
  </si>
  <si>
    <t>60 Vs 60</t>
  </si>
  <si>
    <t>24 months</t>
  </si>
  <si>
    <t>BMI, WHR, duration of infertility, FSH, LH, TSH, PRL, E2, 17-OHP, Progesterone, DHEAS, testosterone, androgen, SHBG, fasting glucose, fasting insulin</t>
  </si>
  <si>
    <t>Angik et. al. 2014</t>
  </si>
  <si>
    <t>Jawaharlal Nehru Medical College and Acharya Vinoba Bhave Rural Hospital, Maharashtra, India</t>
  </si>
  <si>
    <t>September 2012 - August 2014</t>
  </si>
  <si>
    <t>age - 15- 40 years, with PCOS</t>
  </si>
  <si>
    <t>Age 15- 40 years</t>
  </si>
  <si>
    <t>Myoinositol 2000mg  Vs Metformin 500 mg</t>
  </si>
  <si>
    <t>6 months</t>
  </si>
  <si>
    <t>BMI, WHR, FBS, PMBS, Post meal Insulin, Testosterone, LH, LH/FSH ratio, Mean ovarian volume, Antral follicle count, HOMA</t>
  </si>
  <si>
    <t>Nehra et. al. 2017</t>
  </si>
  <si>
    <t>Department of Pharmacology and Obstetrics and Gynaecology, Pt. B. D. Sharma PGIMS, Rohtak, Haryana, India</t>
  </si>
  <si>
    <t>Androgen excess society criteria 2006</t>
  </si>
  <si>
    <t>Reproductive age group 15-45 years, with PCOS</t>
  </si>
  <si>
    <t>Age - 15 - 45 years</t>
  </si>
  <si>
    <t>Myoinositol 2000mg  Vs Metformin 1500 mg</t>
  </si>
  <si>
    <t>BMI, WHR</t>
  </si>
  <si>
    <t>De Leo et. al. 2013</t>
  </si>
  <si>
    <t>Obstetrics and Gynecology Clinic, G. University of Siena, Italy</t>
  </si>
  <si>
    <t>ESHRE/ASRM criteria</t>
  </si>
  <si>
    <t>Insulin resistance, Age - 24 -32, PCOS</t>
  </si>
  <si>
    <t xml:space="preserve">Age - 24 - 32 </t>
  </si>
  <si>
    <t>Myoinositol 3000 mg Vs Metformin 1700 mg</t>
  </si>
  <si>
    <t>20 Vs 20</t>
  </si>
  <si>
    <t>Bmi, LH, FSH, Total Testosterone, SHBG, Glucose, Insulin, HOMA, total cholestrol, HDL, LDL, Triglyceride, F Gallwey</t>
  </si>
  <si>
    <t>Tagliaferri et. al. 2016</t>
  </si>
  <si>
    <t>Randomized cross over study</t>
  </si>
  <si>
    <t>Department of Obstetrics and Gynaecology, Catholic University of Sacred heart, Italy</t>
  </si>
  <si>
    <t>PCOS patients</t>
  </si>
  <si>
    <t>Mean age = 25.62</t>
  </si>
  <si>
    <t>Myoinositol 2000mg Vs Metformin 1700 mg</t>
  </si>
  <si>
    <t>34 Vs 34</t>
  </si>
  <si>
    <t>BMI, WHR, FG Score, FSH, LH, Estradiol, Prolactin, Androstenedione, Testosterone, Free androgen index, 17-OHP, DHEAS, SHBG, Anti-mullerian Hormone, Ovarian volume</t>
  </si>
  <si>
    <t>Shokrpour et. al. 2019</t>
  </si>
  <si>
    <t>Randmized study</t>
  </si>
  <si>
    <t>Randomly allocated</t>
  </si>
  <si>
    <t>September 2017 - December 2017</t>
  </si>
  <si>
    <t>Age -18 -40 years, PCOS patient</t>
  </si>
  <si>
    <t>Age  - 18 - 40 years</t>
  </si>
  <si>
    <t>2000 mg Myoinositol + 200 mcg Folic acid Vs 1500 mg metformin</t>
  </si>
  <si>
    <t>26 Vs 27</t>
  </si>
  <si>
    <t>Age, BMI, Body weight, Fasting glucose, Insulin, HOMA, Triglyceride, VLDL, cholestrol, HDL,LDL, QUICKI</t>
  </si>
  <si>
    <t>Ali Ozay et.al. 2016</t>
  </si>
  <si>
    <t>Manually Odd/Even ratio</t>
  </si>
  <si>
    <t>Department ofObstetrics &amp; Gynecology, Medical School, Dokuz Eylul University, Izmir, Turkey</t>
  </si>
  <si>
    <t>May 2013 - June 2014</t>
  </si>
  <si>
    <t>PCOS patient</t>
  </si>
  <si>
    <t>Myoinositol 1000mg + 100mcg Folic Acid Vs COC- 2mg Cyproterone acetate + 0.035 Ethinyl estradiol</t>
  </si>
  <si>
    <t>52 Vs 54</t>
  </si>
  <si>
    <t>12 - 16 weeks</t>
  </si>
  <si>
    <t>BMI, Fasting glucose, fasting insulin, HOMA, HDL, LDL, TGs, Total cholestrol, C-reactive protein, Apo-B, DHEAS, C- peptide, total testosterone, free testosterone, Androstendione, Progesterone, 17-OHP, SHBG, estradiol, F Galleway, WHR, Antral Follicle count, Total ovary volume, Anti-mullerian hormone`</t>
  </si>
  <si>
    <t>Pkhaladze et.al. 2016</t>
  </si>
  <si>
    <t xml:space="preserve">Archil Khomasuridze Institute ofReproductology, 0112 Tbilisi, Georgia </t>
  </si>
  <si>
    <t>June- August 2016</t>
  </si>
  <si>
    <t>Age - 13-19 years with PCOS</t>
  </si>
  <si>
    <t>Age- 13-19</t>
  </si>
  <si>
    <t>Myoinositol 2000mg + 200mg Folic acid BID Vs COC (Drospirenone 3mg / ethinyl estradiol 30mcg)</t>
  </si>
  <si>
    <t>3 months</t>
  </si>
  <si>
    <t>BMI, weight, Prolactin, LH, DHEAS, Total testosterone, free testosterone, Free Androgen Index, SHBG, Glucose, C-peptide, Insulin, HOMA, AMH</t>
  </si>
  <si>
    <t xml:space="preserve">Sr. No. </t>
  </si>
  <si>
    <t>Type of Study</t>
  </si>
  <si>
    <t>Method od of allocation</t>
  </si>
  <si>
    <t>Tagliaferri et. al. 2017</t>
  </si>
  <si>
    <t>NO</t>
  </si>
  <si>
    <t>Department of obstetrics and gynaecology , Catholic University of Sacred Heart. Milan, Italy</t>
  </si>
  <si>
    <t>Overweight obese women with PCOS, Age - 25 - 35 years</t>
  </si>
  <si>
    <t>25- 35 years</t>
  </si>
  <si>
    <t>Myoinositol 1000mg BID Vs Metformin 850mg BID</t>
  </si>
  <si>
    <t>34</t>
  </si>
  <si>
    <t>FSH, LH, Estradiol, progesterone, prolactin, testosterone, androstenedione, 17-OHP, SHBG, DHEAS, Anti-mullerian hormone</t>
  </si>
</sst>
</file>

<file path=xl/styles.xml><?xml version="1.0" encoding="utf-8"?>
<styleSheet xmlns="http://schemas.openxmlformats.org/spreadsheetml/2006/main">
  <numFmts count="7">
    <numFmt numFmtId="176" formatCode="0.000"/>
    <numFmt numFmtId="42" formatCode="_(&quot;$&quot;* #,##0_);_(&quot;$&quot;* \(#,##0\);_(&quot;$&quot;* &quot;-&quot;_);_(@_)"/>
    <numFmt numFmtId="177" formatCode="_ * #,##0_ ;_ * \-#,##0_ ;_ * &quot;-&quot;_ ;_ @_ "/>
    <numFmt numFmtId="178" formatCode="_ * #,##0.00_ ;_ * \-#,##0.00_ ;_ * &quot;-&quot;??_ ;_ @_ "/>
    <numFmt numFmtId="44" formatCode="_(&quot;$&quot;* #,##0.00_);_(&quot;$&quot;* \(#,##0.00\);_(&quot;$&quot;* &quot;-&quot;??_);_(@_)"/>
    <numFmt numFmtId="179" formatCode="0.0"/>
    <numFmt numFmtId="180" formatCode="0.0000"/>
  </numFmts>
  <fonts count="26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444444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134"/>
    </font>
    <font>
      <vertAlign val="superscript"/>
      <sz val="11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7" fillId="9" borderId="0" applyNumberFormat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12" borderId="5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6" fillId="10" borderId="4" applyNumberFormat="0" applyFon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21" borderId="2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3" fillId="8" borderId="9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8" fillId="8" borderId="2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</cellStyleXfs>
  <cellXfs count="3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wrapText="1"/>
    </xf>
    <xf numFmtId="2" fontId="0" fillId="0" borderId="0" xfId="0" applyNumberFormat="1" applyAlignment="1"/>
    <xf numFmtId="49" fontId="0" fillId="0" borderId="0" xfId="0" applyNumberFormat="1" applyAlignment="1">
      <alignment wrapText="1"/>
    </xf>
    <xf numFmtId="0" fontId="0" fillId="0" borderId="0" xfId="0" applyAlignment="1">
      <alignment horizontal="center"/>
    </xf>
    <xf numFmtId="2" fontId="0" fillId="0" borderId="0" xfId="0" applyNumberFormat="1"/>
    <xf numFmtId="179" fontId="0" fillId="0" borderId="0" xfId="0" applyNumberFormat="1"/>
    <xf numFmtId="1" fontId="0" fillId="0" borderId="0" xfId="0" applyNumberForma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vertical="center" wrapText="1"/>
    </xf>
    <xf numFmtId="16" fontId="0" fillId="0" borderId="1" xfId="0" applyNumberFormat="1" applyBorder="1" applyAlignment="1">
      <alignment wrapText="1"/>
    </xf>
    <xf numFmtId="49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179" fontId="0" fillId="0" borderId="1" xfId="0" applyNumberFormat="1" applyBorder="1"/>
    <xf numFmtId="176" fontId="0" fillId="0" borderId="1" xfId="0" applyNumberFormat="1" applyBorder="1"/>
    <xf numFmtId="1" fontId="0" fillId="0" borderId="1" xfId="0" applyNumberFormat="1" applyBorder="1"/>
    <xf numFmtId="0" fontId="0" fillId="0" borderId="1" xfId="0" applyBorder="1" applyAlignment="1"/>
    <xf numFmtId="180" fontId="0" fillId="0" borderId="1" xfId="0" applyNumberFormat="1" applyBorder="1"/>
    <xf numFmtId="2" fontId="0" fillId="0" borderId="1" xfId="0" applyNumberFormat="1" applyBorder="1" applyAlignment="1">
      <alignment wrapText="1"/>
    </xf>
    <xf numFmtId="2" fontId="0" fillId="0" borderId="1" xfId="0" applyNumberFormat="1" applyBorder="1" applyAlignment="1"/>
    <xf numFmtId="0" fontId="0" fillId="0" borderId="1" xfId="0" applyFill="1" applyBorder="1" applyAlignment="1">
      <alignment horizontal="center"/>
    </xf>
    <xf numFmtId="0" fontId="2" fillId="0" borderId="1" xfId="0" applyFont="1" applyBorder="1"/>
    <xf numFmtId="9" fontId="0" fillId="0" borderId="1" xfId="0" applyNumberFormat="1" applyBorder="1"/>
    <xf numFmtId="0" fontId="0" fillId="0" borderId="1" xfId="0" applyBorder="1" applyAlignment="1">
      <alignment vertical="center" wrapText="1"/>
    </xf>
    <xf numFmtId="0" fontId="3" fillId="0" borderId="1" xfId="0" applyFont="1" applyBorder="1"/>
    <xf numFmtId="0" fontId="0" fillId="0" borderId="1" xfId="0" applyBorder="1" applyAlignment="1" quotePrefix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C70"/>
  <sheetViews>
    <sheetView tabSelected="1" zoomScale="80" zoomScaleNormal="80" topLeftCell="B1" workbookViewId="0">
      <pane xSplit="1" ySplit="3" topLeftCell="C4" activePane="bottomRight" state="frozen"/>
      <selection/>
      <selection pane="topRight"/>
      <selection pane="bottomLeft"/>
      <selection pane="bottomRight" activeCell="D5" sqref="D5"/>
    </sheetView>
  </sheetViews>
  <sheetFormatPr defaultColWidth="9" defaultRowHeight="15"/>
  <cols>
    <col min="2" max="2" width="9.14285714285714" style="1"/>
    <col min="3" max="3" width="46.1428571428571" style="1" customWidth="1"/>
    <col min="4" max="4" width="13" style="1" customWidth="1"/>
    <col min="5" max="5" width="17.1428571428571" style="1" customWidth="1"/>
    <col min="6" max="6" width="13.2857142857143" style="1" customWidth="1"/>
    <col min="7" max="7" width="9.14285714285714" style="1"/>
    <col min="8" max="8" width="14.7142857142857" style="1" customWidth="1"/>
    <col min="9" max="9" width="9.14285714285714" style="1"/>
    <col min="10" max="10" width="17.7142857142857" style="1" customWidth="1"/>
    <col min="11" max="11" width="11.7142857142857" style="1" customWidth="1"/>
    <col min="12" max="12" width="9.14285714285714" style="1"/>
    <col min="13" max="13" width="14.7142857142857" style="1" customWidth="1"/>
    <col min="14" max="14" width="14.1428571428571" style="1" customWidth="1"/>
    <col min="15" max="15" width="9.14285714285714" style="1"/>
    <col min="16" max="18" width="10.1428571428571" style="1" customWidth="1"/>
    <col min="47" max="47" width="11" customWidth="1"/>
    <col min="48" max="48" width="13.1428571428571" customWidth="1"/>
    <col min="49" max="49" width="9.71428571428571" customWidth="1"/>
    <col min="50" max="52" width="9.57142857142857" customWidth="1"/>
    <col min="53" max="54" width="10.1428571428571" customWidth="1"/>
    <col min="86" max="86" width="15" customWidth="1"/>
    <col min="127" max="127" width="15.2857142857143" customWidth="1"/>
    <col min="130" max="130" width="12.5714285714286" customWidth="1"/>
    <col min="211" max="211" width="12.8571428571429" customWidth="1"/>
    <col min="213" max="213" width="8.28571428571429" customWidth="1"/>
    <col min="214" max="214" width="12.8571428571429" customWidth="1"/>
    <col min="215" max="216" width="11.8571428571429" customWidth="1"/>
  </cols>
  <sheetData>
    <row r="1" ht="15.75" spans="2:289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23" t="s">
        <v>0</v>
      </c>
      <c r="T1" s="23"/>
      <c r="U1" s="23"/>
      <c r="V1" s="23"/>
      <c r="W1" s="23"/>
      <c r="X1" s="23"/>
      <c r="Y1" s="23" t="s">
        <v>1</v>
      </c>
      <c r="Z1" s="23"/>
      <c r="AA1" s="23"/>
      <c r="AB1" s="23"/>
      <c r="AC1" s="23"/>
      <c r="AD1" s="23"/>
      <c r="AE1" s="23" t="s">
        <v>2</v>
      </c>
      <c r="AF1" s="23"/>
      <c r="AG1" s="23"/>
      <c r="AH1" s="23"/>
      <c r="AI1" s="23"/>
      <c r="AJ1" s="23"/>
      <c r="AK1" s="23" t="s">
        <v>3</v>
      </c>
      <c r="AL1" s="23"/>
      <c r="AM1" s="23"/>
      <c r="AN1" s="23"/>
      <c r="AO1" s="23"/>
      <c r="AP1" s="23"/>
      <c r="AQ1" s="23" t="s">
        <v>4</v>
      </c>
      <c r="AR1" s="23"/>
      <c r="AS1" s="23"/>
      <c r="AT1" s="23"/>
      <c r="AU1" s="23"/>
      <c r="AV1" s="23"/>
      <c r="AW1" s="23" t="s">
        <v>5</v>
      </c>
      <c r="AX1" s="23"/>
      <c r="AY1" s="23"/>
      <c r="AZ1" s="23"/>
      <c r="BA1" s="23"/>
      <c r="BB1" s="23"/>
      <c r="BC1" s="23" t="s">
        <v>6</v>
      </c>
      <c r="BD1" s="23"/>
      <c r="BE1" s="23"/>
      <c r="BF1" s="23"/>
      <c r="BG1" s="23"/>
      <c r="BH1" s="23"/>
      <c r="BI1" s="23" t="s">
        <v>7</v>
      </c>
      <c r="BJ1" s="23"/>
      <c r="BK1" s="23"/>
      <c r="BL1" s="23"/>
      <c r="BM1" s="23"/>
      <c r="BN1" s="23"/>
      <c r="BO1" s="23" t="s">
        <v>8</v>
      </c>
      <c r="BP1" s="23"/>
      <c r="BQ1" s="23"/>
      <c r="BR1" s="23"/>
      <c r="BS1" s="23"/>
      <c r="BT1" s="23"/>
      <c r="BU1" s="23" t="s">
        <v>9</v>
      </c>
      <c r="BV1" s="23"/>
      <c r="BW1" s="23"/>
      <c r="BX1" s="23"/>
      <c r="BY1" s="23"/>
      <c r="BZ1" s="23"/>
      <c r="CA1" s="23" t="s">
        <v>10</v>
      </c>
      <c r="CB1" s="23"/>
      <c r="CC1" s="23"/>
      <c r="CD1" s="23"/>
      <c r="CE1" s="23"/>
      <c r="CF1" s="23"/>
      <c r="CG1" s="23" t="s">
        <v>11</v>
      </c>
      <c r="CH1" s="23"/>
      <c r="CI1" s="23"/>
      <c r="CJ1" s="23"/>
      <c r="CK1" s="23"/>
      <c r="CL1" s="23"/>
      <c r="CM1" s="23" t="s">
        <v>12</v>
      </c>
      <c r="CN1" s="23"/>
      <c r="CO1" s="23"/>
      <c r="CP1" s="23"/>
      <c r="CQ1" s="23"/>
      <c r="CR1" s="23"/>
      <c r="CS1" s="23" t="s">
        <v>13</v>
      </c>
      <c r="CT1" s="23"/>
      <c r="CU1" s="23"/>
      <c r="CV1" s="23"/>
      <c r="CW1" s="23"/>
      <c r="CX1" s="23"/>
      <c r="CY1" s="23" t="s">
        <v>14</v>
      </c>
      <c r="CZ1" s="23"/>
      <c r="DA1" s="23"/>
      <c r="DB1" s="23"/>
      <c r="DC1" s="23"/>
      <c r="DD1" s="23"/>
      <c r="DE1" s="23" t="s">
        <v>15</v>
      </c>
      <c r="DF1" s="23"/>
      <c r="DG1" s="23"/>
      <c r="DH1" s="23"/>
      <c r="DI1" s="23"/>
      <c r="DJ1" s="23"/>
      <c r="DK1" s="23" t="s">
        <v>16</v>
      </c>
      <c r="DL1" s="23"/>
      <c r="DM1" s="23"/>
      <c r="DN1" s="23"/>
      <c r="DO1" s="23"/>
      <c r="DP1" s="23"/>
      <c r="DQ1" s="23" t="s">
        <v>17</v>
      </c>
      <c r="DR1" s="23"/>
      <c r="DS1" s="23"/>
      <c r="DT1" s="23"/>
      <c r="DU1" s="23"/>
      <c r="DV1" s="23"/>
      <c r="DW1" s="23" t="s">
        <v>18</v>
      </c>
      <c r="DX1" s="23"/>
      <c r="DY1" s="23"/>
      <c r="DZ1" s="23"/>
      <c r="EA1" s="23"/>
      <c r="EB1" s="23"/>
      <c r="EC1" s="23" t="s">
        <v>19</v>
      </c>
      <c r="ED1" s="23"/>
      <c r="EE1" s="23"/>
      <c r="EF1" s="23"/>
      <c r="EG1" s="23"/>
      <c r="EH1" s="23"/>
      <c r="EI1" s="23" t="s">
        <v>20</v>
      </c>
      <c r="EJ1" s="23"/>
      <c r="EK1" s="23"/>
      <c r="EL1" s="23"/>
      <c r="EM1" s="23"/>
      <c r="EN1" s="23"/>
      <c r="EO1" s="23" t="s">
        <v>21</v>
      </c>
      <c r="EP1" s="23"/>
      <c r="EQ1" s="23"/>
      <c r="ER1" s="23"/>
      <c r="ES1" s="23"/>
      <c r="ET1" s="23"/>
      <c r="EU1" s="23" t="s">
        <v>22</v>
      </c>
      <c r="EV1" s="23"/>
      <c r="EW1" s="23"/>
      <c r="EX1" s="23"/>
      <c r="EY1" s="23"/>
      <c r="EZ1" s="23"/>
      <c r="FA1" s="23" t="s">
        <v>23</v>
      </c>
      <c r="FB1" s="23"/>
      <c r="FC1" s="23"/>
      <c r="FD1" s="23"/>
      <c r="FE1" s="23"/>
      <c r="FF1" s="23"/>
      <c r="FG1" s="23" t="s">
        <v>24</v>
      </c>
      <c r="FH1" s="23"/>
      <c r="FI1" s="23"/>
      <c r="FJ1" s="23"/>
      <c r="FK1" s="23"/>
      <c r="FL1" s="23"/>
      <c r="FM1" s="23" t="s">
        <v>25</v>
      </c>
      <c r="FN1" s="23"/>
      <c r="FO1" s="23"/>
      <c r="FP1" s="23"/>
      <c r="FQ1" s="23"/>
      <c r="FR1" s="23"/>
      <c r="FS1" s="23" t="s">
        <v>26</v>
      </c>
      <c r="FT1" s="23"/>
      <c r="FU1" s="23"/>
      <c r="FV1" s="23"/>
      <c r="FW1" s="23"/>
      <c r="FX1" s="23"/>
      <c r="FY1" s="23" t="s">
        <v>27</v>
      </c>
      <c r="FZ1" s="23"/>
      <c r="GA1" s="23"/>
      <c r="GB1" s="23"/>
      <c r="GC1" s="23"/>
      <c r="GD1" s="23"/>
      <c r="GE1" s="23" t="s">
        <v>28</v>
      </c>
      <c r="GF1" s="23"/>
      <c r="GG1" s="23"/>
      <c r="GH1" s="23"/>
      <c r="GI1" s="23"/>
      <c r="GJ1" s="23"/>
      <c r="GK1" s="23" t="s">
        <v>29</v>
      </c>
      <c r="GL1" s="23"/>
      <c r="GM1" s="23"/>
      <c r="GN1" s="23"/>
      <c r="GO1" s="23"/>
      <c r="GP1" s="23"/>
      <c r="GQ1" s="23" t="s">
        <v>30</v>
      </c>
      <c r="GR1" s="23"/>
      <c r="GS1" s="23"/>
      <c r="GT1" s="23"/>
      <c r="GU1" s="23"/>
      <c r="GV1" s="23"/>
      <c r="GW1" s="23" t="s">
        <v>31</v>
      </c>
      <c r="GX1" s="23"/>
      <c r="GY1" s="23"/>
      <c r="GZ1" s="23"/>
      <c r="HA1" s="23"/>
      <c r="HB1" s="23"/>
      <c r="HC1" s="23" t="s">
        <v>32</v>
      </c>
      <c r="HD1" s="23"/>
      <c r="HE1" s="23"/>
      <c r="HF1" s="23" t="s">
        <v>33</v>
      </c>
      <c r="HG1" s="23"/>
      <c r="HH1" s="23" t="s">
        <v>34</v>
      </c>
      <c r="HI1" s="33" t="s">
        <v>35</v>
      </c>
      <c r="HJ1" s="33"/>
      <c r="HK1" s="33"/>
      <c r="HL1" s="33"/>
      <c r="HM1" s="33"/>
      <c r="HN1" s="33"/>
      <c r="HO1" s="33" t="s">
        <v>36</v>
      </c>
      <c r="HP1" s="33"/>
      <c r="HQ1" s="33"/>
      <c r="HR1" s="33"/>
      <c r="HS1" s="33"/>
      <c r="HT1" s="33"/>
      <c r="HU1" s="33" t="s">
        <v>37</v>
      </c>
      <c r="HV1" s="33"/>
      <c r="HW1" s="33"/>
      <c r="HX1" s="33"/>
      <c r="HY1" s="33"/>
      <c r="HZ1" s="33"/>
      <c r="IA1" s="33" t="s">
        <v>38</v>
      </c>
      <c r="IB1" s="33"/>
      <c r="IC1" s="33"/>
      <c r="ID1" s="33"/>
      <c r="IE1" s="33"/>
      <c r="IF1" s="33"/>
      <c r="IG1" s="33" t="s">
        <v>39</v>
      </c>
      <c r="IH1" s="33"/>
      <c r="II1" s="33"/>
      <c r="IJ1" s="33"/>
      <c r="IK1" s="33"/>
      <c r="IL1" s="33"/>
      <c r="IM1" s="23" t="s">
        <v>40</v>
      </c>
      <c r="IN1" s="23"/>
      <c r="IO1" s="23"/>
      <c r="IP1" s="23"/>
      <c r="IQ1" s="23"/>
      <c r="IR1" s="23"/>
      <c r="IS1" s="23" t="s">
        <v>41</v>
      </c>
      <c r="IT1" s="23"/>
      <c r="IU1" s="23"/>
      <c r="IV1" s="23"/>
      <c r="IW1" s="23"/>
      <c r="IX1" s="23"/>
      <c r="IY1" s="23" t="s">
        <v>42</v>
      </c>
      <c r="IZ1" s="23"/>
      <c r="JA1" s="23"/>
      <c r="JB1" s="23"/>
      <c r="JC1" s="23"/>
      <c r="JD1" s="23"/>
      <c r="JE1" s="23" t="s">
        <v>43</v>
      </c>
      <c r="JF1" s="23"/>
      <c r="JG1" s="23"/>
      <c r="JH1" s="23"/>
      <c r="JI1" s="23"/>
      <c r="JJ1" s="23"/>
      <c r="JK1" s="23" t="s">
        <v>44</v>
      </c>
      <c r="JL1" s="23"/>
      <c r="JM1" s="23"/>
      <c r="JN1" s="23"/>
      <c r="JO1" s="23"/>
      <c r="JP1" s="23"/>
      <c r="JQ1" s="23" t="s">
        <v>45</v>
      </c>
      <c r="JR1" s="23"/>
      <c r="JS1" s="23"/>
      <c r="JT1" s="23"/>
      <c r="JU1" s="23"/>
      <c r="JV1" s="23"/>
      <c r="JW1" s="23" t="s">
        <v>46</v>
      </c>
      <c r="JX1" s="23"/>
      <c r="JY1" s="23"/>
      <c r="JZ1" s="23"/>
      <c r="KA1" s="23"/>
      <c r="KB1" s="23"/>
      <c r="KC1" s="24"/>
    </row>
    <row r="2" spans="2:289"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3" t="s">
        <v>47</v>
      </c>
      <c r="R2" s="13"/>
      <c r="S2" s="23" t="s">
        <v>48</v>
      </c>
      <c r="T2" s="23"/>
      <c r="U2" s="23"/>
      <c r="V2" s="23" t="s">
        <v>49</v>
      </c>
      <c r="W2" s="23"/>
      <c r="X2" s="23"/>
      <c r="Y2" s="23" t="s">
        <v>48</v>
      </c>
      <c r="Z2" s="23"/>
      <c r="AA2" s="23"/>
      <c r="AB2" s="23" t="s">
        <v>49</v>
      </c>
      <c r="AC2" s="23"/>
      <c r="AD2" s="23"/>
      <c r="AE2" s="23" t="s">
        <v>48</v>
      </c>
      <c r="AF2" s="23"/>
      <c r="AG2" s="23"/>
      <c r="AH2" s="23" t="s">
        <v>49</v>
      </c>
      <c r="AI2" s="23"/>
      <c r="AJ2" s="23"/>
      <c r="AK2" s="23" t="s">
        <v>48</v>
      </c>
      <c r="AL2" s="23"/>
      <c r="AM2" s="23"/>
      <c r="AN2" s="23" t="s">
        <v>49</v>
      </c>
      <c r="AO2" s="23"/>
      <c r="AP2" s="23"/>
      <c r="AQ2" s="23" t="s">
        <v>48</v>
      </c>
      <c r="AR2" s="23"/>
      <c r="AS2" s="23"/>
      <c r="AT2" s="23" t="s">
        <v>49</v>
      </c>
      <c r="AU2" s="23"/>
      <c r="AV2" s="23"/>
      <c r="AW2" s="23" t="s">
        <v>48</v>
      </c>
      <c r="AX2" s="23"/>
      <c r="AY2" s="23"/>
      <c r="AZ2" s="29" t="s">
        <v>49</v>
      </c>
      <c r="BA2" s="29"/>
      <c r="BB2" s="23"/>
      <c r="BC2" s="23" t="s">
        <v>48</v>
      </c>
      <c r="BD2" s="23"/>
      <c r="BE2" s="23"/>
      <c r="BF2" s="23" t="s">
        <v>49</v>
      </c>
      <c r="BG2" s="23"/>
      <c r="BH2" s="23"/>
      <c r="BI2" s="23" t="s">
        <v>48</v>
      </c>
      <c r="BJ2" s="23"/>
      <c r="BK2" s="23"/>
      <c r="BL2" s="23" t="s">
        <v>49</v>
      </c>
      <c r="BM2" s="23"/>
      <c r="BN2" s="23"/>
      <c r="BO2" s="33" t="s">
        <v>48</v>
      </c>
      <c r="BP2" s="33"/>
      <c r="BQ2" s="33"/>
      <c r="BR2" s="33" t="s">
        <v>49</v>
      </c>
      <c r="BS2" s="33"/>
      <c r="BT2" s="33"/>
      <c r="BU2" s="23" t="s">
        <v>48</v>
      </c>
      <c r="BV2" s="23"/>
      <c r="BW2" s="23"/>
      <c r="BX2" s="23" t="s">
        <v>49</v>
      </c>
      <c r="BY2" s="23"/>
      <c r="BZ2" s="23"/>
      <c r="CA2" s="23" t="s">
        <v>48</v>
      </c>
      <c r="CB2" s="23"/>
      <c r="CC2" s="23"/>
      <c r="CD2" s="23" t="s">
        <v>49</v>
      </c>
      <c r="CE2" s="23"/>
      <c r="CF2" s="23"/>
      <c r="CG2" s="23" t="s">
        <v>48</v>
      </c>
      <c r="CH2" s="23"/>
      <c r="CI2" s="23"/>
      <c r="CJ2" s="23" t="s">
        <v>49</v>
      </c>
      <c r="CK2" s="23"/>
      <c r="CL2" s="23"/>
      <c r="CM2" s="23" t="s">
        <v>48</v>
      </c>
      <c r="CN2" s="23"/>
      <c r="CO2" s="23"/>
      <c r="CP2" s="23" t="s">
        <v>49</v>
      </c>
      <c r="CQ2" s="23"/>
      <c r="CR2" s="23"/>
      <c r="CS2" s="23" t="s">
        <v>48</v>
      </c>
      <c r="CT2" s="23"/>
      <c r="CU2" s="23"/>
      <c r="CV2" s="23" t="s">
        <v>49</v>
      </c>
      <c r="CW2" s="23"/>
      <c r="CX2" s="23"/>
      <c r="CY2" s="23" t="s">
        <v>48</v>
      </c>
      <c r="CZ2" s="23"/>
      <c r="DA2" s="23"/>
      <c r="DB2" s="23" t="s">
        <v>49</v>
      </c>
      <c r="DC2" s="23"/>
      <c r="DD2" s="23"/>
      <c r="DE2" s="23" t="s">
        <v>48</v>
      </c>
      <c r="DF2" s="23"/>
      <c r="DG2" s="23"/>
      <c r="DH2" s="23" t="s">
        <v>49</v>
      </c>
      <c r="DI2" s="23"/>
      <c r="DJ2" s="23"/>
      <c r="DK2" s="23" t="s">
        <v>48</v>
      </c>
      <c r="DL2" s="23"/>
      <c r="DM2" s="23"/>
      <c r="DN2" s="23" t="s">
        <v>49</v>
      </c>
      <c r="DO2" s="23"/>
      <c r="DP2" s="23"/>
      <c r="DQ2" s="23" t="s">
        <v>48</v>
      </c>
      <c r="DR2" s="23"/>
      <c r="DS2" s="23"/>
      <c r="DT2" s="23" t="s">
        <v>49</v>
      </c>
      <c r="DU2" s="23"/>
      <c r="DV2" s="23"/>
      <c r="DW2" s="23" t="s">
        <v>48</v>
      </c>
      <c r="DX2" s="23"/>
      <c r="DY2" s="23"/>
      <c r="DZ2" s="23" t="s">
        <v>49</v>
      </c>
      <c r="EA2" s="23"/>
      <c r="EB2" s="23"/>
      <c r="EC2" s="23" t="s">
        <v>48</v>
      </c>
      <c r="ED2" s="23"/>
      <c r="EE2" s="23"/>
      <c r="EF2" s="23" t="s">
        <v>49</v>
      </c>
      <c r="EG2" s="23"/>
      <c r="EH2" s="23"/>
      <c r="EI2" s="23" t="s">
        <v>48</v>
      </c>
      <c r="EJ2" s="23"/>
      <c r="EK2" s="23"/>
      <c r="EL2" s="23" t="s">
        <v>49</v>
      </c>
      <c r="EM2" s="23"/>
      <c r="EN2" s="23"/>
      <c r="EO2" s="23" t="s">
        <v>48</v>
      </c>
      <c r="EP2" s="23"/>
      <c r="EQ2" s="23"/>
      <c r="ER2" s="23" t="s">
        <v>49</v>
      </c>
      <c r="ES2" s="23"/>
      <c r="ET2" s="23"/>
      <c r="EU2" s="23" t="s">
        <v>48</v>
      </c>
      <c r="EV2" s="23"/>
      <c r="EW2" s="23"/>
      <c r="EX2" s="23" t="s">
        <v>49</v>
      </c>
      <c r="EY2" s="23"/>
      <c r="EZ2" s="23"/>
      <c r="FA2" s="23" t="s">
        <v>48</v>
      </c>
      <c r="FB2" s="23"/>
      <c r="FC2" s="23"/>
      <c r="FD2" s="23" t="s">
        <v>49</v>
      </c>
      <c r="FE2" s="23"/>
      <c r="FF2" s="23"/>
      <c r="FG2" s="23" t="s">
        <v>48</v>
      </c>
      <c r="FH2" s="23"/>
      <c r="FI2" s="23"/>
      <c r="FJ2" s="23" t="s">
        <v>49</v>
      </c>
      <c r="FK2" s="23"/>
      <c r="FL2" s="23"/>
      <c r="FM2" s="23" t="s">
        <v>48</v>
      </c>
      <c r="FN2" s="23"/>
      <c r="FO2" s="23"/>
      <c r="FP2" s="23" t="s">
        <v>49</v>
      </c>
      <c r="FQ2" s="23"/>
      <c r="FR2" s="23"/>
      <c r="FS2" s="23" t="s">
        <v>48</v>
      </c>
      <c r="FT2" s="23"/>
      <c r="FU2" s="23"/>
      <c r="FV2" s="23" t="s">
        <v>49</v>
      </c>
      <c r="FW2" s="23"/>
      <c r="FX2" s="23"/>
      <c r="FY2" s="23" t="s">
        <v>48</v>
      </c>
      <c r="FZ2" s="23"/>
      <c r="GA2" s="23"/>
      <c r="GB2" s="23" t="s">
        <v>49</v>
      </c>
      <c r="GC2" s="23"/>
      <c r="GD2" s="23"/>
      <c r="GE2" s="23" t="s">
        <v>48</v>
      </c>
      <c r="GF2" s="23"/>
      <c r="GG2" s="23"/>
      <c r="GH2" s="23" t="s">
        <v>49</v>
      </c>
      <c r="GI2" s="23"/>
      <c r="GJ2" s="23"/>
      <c r="GK2" s="23" t="s">
        <v>48</v>
      </c>
      <c r="GL2" s="23"/>
      <c r="GM2" s="23"/>
      <c r="GN2" s="23" t="s">
        <v>49</v>
      </c>
      <c r="GO2" s="23"/>
      <c r="GP2" s="23"/>
      <c r="GQ2" s="23" t="s">
        <v>48</v>
      </c>
      <c r="GR2" s="23"/>
      <c r="GS2" s="23"/>
      <c r="GT2" s="23" t="s">
        <v>49</v>
      </c>
      <c r="GU2" s="23"/>
      <c r="GV2" s="23"/>
      <c r="GW2" s="23" t="s">
        <v>48</v>
      </c>
      <c r="GX2" s="23"/>
      <c r="GY2" s="23"/>
      <c r="GZ2" s="23" t="s">
        <v>49</v>
      </c>
      <c r="HA2" s="23"/>
      <c r="HB2" s="23"/>
      <c r="HC2" s="23" t="s">
        <v>48</v>
      </c>
      <c r="HD2" s="23" t="s">
        <v>49</v>
      </c>
      <c r="HE2" s="23" t="s">
        <v>50</v>
      </c>
      <c r="HF2" s="23" t="s">
        <v>48</v>
      </c>
      <c r="HG2" s="23" t="s">
        <v>49</v>
      </c>
      <c r="HH2" s="23"/>
      <c r="HI2" s="23" t="s">
        <v>48</v>
      </c>
      <c r="HJ2" s="23"/>
      <c r="HK2" s="23"/>
      <c r="HL2" s="23" t="s">
        <v>49</v>
      </c>
      <c r="HM2" s="23"/>
      <c r="HN2" s="23"/>
      <c r="HO2" s="23" t="s">
        <v>48</v>
      </c>
      <c r="HP2" s="23"/>
      <c r="HQ2" s="23"/>
      <c r="HR2" s="23" t="s">
        <v>49</v>
      </c>
      <c r="HS2" s="23"/>
      <c r="HT2" s="23"/>
      <c r="HU2" s="33" t="s">
        <v>48</v>
      </c>
      <c r="HV2" s="33"/>
      <c r="HW2" s="33"/>
      <c r="HX2" s="33" t="s">
        <v>49</v>
      </c>
      <c r="HY2" s="33"/>
      <c r="HZ2" s="33"/>
      <c r="IA2" s="33" t="s">
        <v>48</v>
      </c>
      <c r="IB2" s="33"/>
      <c r="IC2" s="33"/>
      <c r="ID2" s="33" t="s">
        <v>49</v>
      </c>
      <c r="IE2" s="33"/>
      <c r="IF2" s="33"/>
      <c r="IG2" s="33" t="s">
        <v>48</v>
      </c>
      <c r="IH2" s="33"/>
      <c r="II2" s="33"/>
      <c r="IJ2" s="33" t="s">
        <v>49</v>
      </c>
      <c r="IK2" s="33"/>
      <c r="IL2" s="33"/>
      <c r="IM2" s="23" t="s">
        <v>48</v>
      </c>
      <c r="IN2" s="23"/>
      <c r="IO2" s="23"/>
      <c r="IP2" s="23" t="s">
        <v>49</v>
      </c>
      <c r="IQ2" s="23"/>
      <c r="IR2" s="23"/>
      <c r="IS2" s="23" t="s">
        <v>51</v>
      </c>
      <c r="IT2" s="23"/>
      <c r="IU2" s="23"/>
      <c r="IV2" s="23" t="s">
        <v>49</v>
      </c>
      <c r="IW2" s="23"/>
      <c r="IX2" s="23"/>
      <c r="IY2" s="23" t="s">
        <v>48</v>
      </c>
      <c r="IZ2" s="23"/>
      <c r="JA2" s="23"/>
      <c r="JB2" s="23" t="s">
        <v>49</v>
      </c>
      <c r="JC2" s="23"/>
      <c r="JD2" s="23"/>
      <c r="JE2" s="23" t="s">
        <v>48</v>
      </c>
      <c r="JF2" s="23"/>
      <c r="JG2" s="23"/>
      <c r="JH2" s="23" t="s">
        <v>49</v>
      </c>
      <c r="JI2" s="23"/>
      <c r="JJ2" s="23"/>
      <c r="JK2" s="23" t="s">
        <v>48</v>
      </c>
      <c r="JL2" s="23"/>
      <c r="JM2" s="23"/>
      <c r="JN2" s="23" t="s">
        <v>49</v>
      </c>
      <c r="JO2" s="23"/>
      <c r="JP2" s="23"/>
      <c r="JQ2" s="23" t="s">
        <v>48</v>
      </c>
      <c r="JR2" s="23"/>
      <c r="JS2" s="23"/>
      <c r="JT2" s="23" t="s">
        <v>49</v>
      </c>
      <c r="JU2" s="23"/>
      <c r="JV2" s="23"/>
      <c r="JW2" s="23" t="s">
        <v>48</v>
      </c>
      <c r="JX2" s="23"/>
      <c r="JY2" s="23"/>
      <c r="JZ2" s="23" t="s">
        <v>49</v>
      </c>
      <c r="KA2" s="23"/>
      <c r="KB2" s="23"/>
      <c r="KC2" s="23"/>
    </row>
    <row r="3" ht="31.5" customHeight="1" spans="2:289">
      <c r="B3" s="12" t="s">
        <v>52</v>
      </c>
      <c r="C3" s="12" t="s">
        <v>53</v>
      </c>
      <c r="D3" s="13" t="s">
        <v>54</v>
      </c>
      <c r="E3" s="13" t="s">
        <v>55</v>
      </c>
      <c r="F3" s="13" t="s">
        <v>56</v>
      </c>
      <c r="G3" s="13" t="s">
        <v>57</v>
      </c>
      <c r="H3" s="12" t="s">
        <v>58</v>
      </c>
      <c r="I3" s="12" t="s">
        <v>59</v>
      </c>
      <c r="J3" s="12" t="s">
        <v>60</v>
      </c>
      <c r="K3" s="12" t="s">
        <v>61</v>
      </c>
      <c r="L3" s="12" t="s">
        <v>62</v>
      </c>
      <c r="M3" s="12" t="s">
        <v>63</v>
      </c>
      <c r="N3" s="12" t="s">
        <v>64</v>
      </c>
      <c r="O3" s="12" t="s">
        <v>65</v>
      </c>
      <c r="P3" s="12" t="s">
        <v>66</v>
      </c>
      <c r="Q3" s="12" t="s">
        <v>48</v>
      </c>
      <c r="R3" s="12" t="s">
        <v>49</v>
      </c>
      <c r="S3" s="12" t="s">
        <v>67</v>
      </c>
      <c r="T3" s="12" t="s">
        <v>68</v>
      </c>
      <c r="U3" s="12" t="s">
        <v>69</v>
      </c>
      <c r="V3" s="13" t="s">
        <v>70</v>
      </c>
      <c r="W3" s="13" t="s">
        <v>68</v>
      </c>
      <c r="X3" s="13" t="s">
        <v>69</v>
      </c>
      <c r="Y3" s="12" t="s">
        <v>67</v>
      </c>
      <c r="Z3" s="12" t="s">
        <v>68</v>
      </c>
      <c r="AA3" s="12" t="s">
        <v>69</v>
      </c>
      <c r="AB3" s="13" t="s">
        <v>70</v>
      </c>
      <c r="AC3" s="13" t="s">
        <v>68</v>
      </c>
      <c r="AD3" s="13" t="s">
        <v>69</v>
      </c>
      <c r="AE3" s="12" t="s">
        <v>67</v>
      </c>
      <c r="AF3" s="12" t="s">
        <v>68</v>
      </c>
      <c r="AG3" s="12" t="s">
        <v>69</v>
      </c>
      <c r="AH3" s="13" t="s">
        <v>70</v>
      </c>
      <c r="AI3" s="13" t="s">
        <v>68</v>
      </c>
      <c r="AJ3" s="13" t="s">
        <v>69</v>
      </c>
      <c r="AK3" s="12" t="s">
        <v>67</v>
      </c>
      <c r="AL3" s="12" t="s">
        <v>68</v>
      </c>
      <c r="AM3" s="12" t="s">
        <v>69</v>
      </c>
      <c r="AN3" s="13" t="s">
        <v>70</v>
      </c>
      <c r="AO3" s="13" t="s">
        <v>68</v>
      </c>
      <c r="AP3" s="13" t="s">
        <v>69</v>
      </c>
      <c r="AQ3" s="12" t="s">
        <v>67</v>
      </c>
      <c r="AR3" s="12" t="s">
        <v>68</v>
      </c>
      <c r="AS3" s="12" t="s">
        <v>69</v>
      </c>
      <c r="AT3" s="13" t="s">
        <v>70</v>
      </c>
      <c r="AU3" s="13" t="s">
        <v>68</v>
      </c>
      <c r="AV3" s="13" t="s">
        <v>69</v>
      </c>
      <c r="AW3" s="12" t="s">
        <v>67</v>
      </c>
      <c r="AX3" s="12" t="s">
        <v>68</v>
      </c>
      <c r="AY3" s="12" t="s">
        <v>69</v>
      </c>
      <c r="AZ3" s="13" t="s">
        <v>70</v>
      </c>
      <c r="BA3" s="13" t="s">
        <v>68</v>
      </c>
      <c r="BB3" s="13" t="s">
        <v>69</v>
      </c>
      <c r="BC3" s="12" t="s">
        <v>67</v>
      </c>
      <c r="BD3" s="12" t="s">
        <v>68</v>
      </c>
      <c r="BE3" s="12" t="s">
        <v>69</v>
      </c>
      <c r="BF3" s="13" t="s">
        <v>70</v>
      </c>
      <c r="BG3" s="13" t="s">
        <v>68</v>
      </c>
      <c r="BH3" s="13" t="s">
        <v>69</v>
      </c>
      <c r="BI3" s="12" t="s">
        <v>67</v>
      </c>
      <c r="BJ3" s="12" t="s">
        <v>68</v>
      </c>
      <c r="BK3" s="12" t="s">
        <v>69</v>
      </c>
      <c r="BL3" s="13" t="s">
        <v>70</v>
      </c>
      <c r="BM3" s="13" t="s">
        <v>68</v>
      </c>
      <c r="BN3" s="13" t="s">
        <v>69</v>
      </c>
      <c r="BO3" s="24" t="s">
        <v>70</v>
      </c>
      <c r="BP3" s="24" t="s">
        <v>68</v>
      </c>
      <c r="BQ3" s="24" t="s">
        <v>69</v>
      </c>
      <c r="BR3" s="24" t="s">
        <v>70</v>
      </c>
      <c r="BS3" s="24" t="s">
        <v>68</v>
      </c>
      <c r="BT3" s="24" t="s">
        <v>69</v>
      </c>
      <c r="BU3" s="12" t="s">
        <v>67</v>
      </c>
      <c r="BV3" s="12" t="s">
        <v>68</v>
      </c>
      <c r="BW3" s="12" t="s">
        <v>34</v>
      </c>
      <c r="BX3" s="13" t="s">
        <v>70</v>
      </c>
      <c r="BY3" s="13" t="s">
        <v>68</v>
      </c>
      <c r="BZ3" s="13" t="s">
        <v>34</v>
      </c>
      <c r="CA3" s="12" t="s">
        <v>67</v>
      </c>
      <c r="CB3" s="12" t="s">
        <v>68</v>
      </c>
      <c r="CC3" s="12" t="s">
        <v>69</v>
      </c>
      <c r="CD3" s="13" t="s">
        <v>70</v>
      </c>
      <c r="CE3" s="13" t="s">
        <v>68</v>
      </c>
      <c r="CF3" s="13" t="s">
        <v>69</v>
      </c>
      <c r="CG3" s="12" t="s">
        <v>67</v>
      </c>
      <c r="CH3" s="12" t="s">
        <v>68</v>
      </c>
      <c r="CI3" s="12" t="s">
        <v>69</v>
      </c>
      <c r="CJ3" s="13" t="s">
        <v>70</v>
      </c>
      <c r="CK3" s="13" t="s">
        <v>68</v>
      </c>
      <c r="CL3" s="13" t="s">
        <v>69</v>
      </c>
      <c r="CM3" s="12" t="s">
        <v>67</v>
      </c>
      <c r="CN3" s="12" t="s">
        <v>68</v>
      </c>
      <c r="CO3" s="12" t="s">
        <v>69</v>
      </c>
      <c r="CP3" s="13" t="s">
        <v>70</v>
      </c>
      <c r="CQ3" s="13" t="s">
        <v>68</v>
      </c>
      <c r="CR3" s="13" t="s">
        <v>69</v>
      </c>
      <c r="CS3" s="12" t="s">
        <v>67</v>
      </c>
      <c r="CT3" s="12" t="s">
        <v>68</v>
      </c>
      <c r="CU3" s="12" t="s">
        <v>69</v>
      </c>
      <c r="CV3" s="13" t="s">
        <v>70</v>
      </c>
      <c r="CW3" s="13" t="s">
        <v>68</v>
      </c>
      <c r="CX3" s="13" t="s">
        <v>69</v>
      </c>
      <c r="CY3" s="12" t="s">
        <v>67</v>
      </c>
      <c r="CZ3" s="12" t="s">
        <v>68</v>
      </c>
      <c r="DA3" s="12" t="s">
        <v>69</v>
      </c>
      <c r="DB3" s="13" t="s">
        <v>70</v>
      </c>
      <c r="DC3" s="13" t="s">
        <v>68</v>
      </c>
      <c r="DD3" s="13" t="s">
        <v>69</v>
      </c>
      <c r="DE3" s="12" t="s">
        <v>67</v>
      </c>
      <c r="DF3" s="12" t="s">
        <v>68</v>
      </c>
      <c r="DG3" s="12" t="s">
        <v>69</v>
      </c>
      <c r="DH3" s="13" t="s">
        <v>70</v>
      </c>
      <c r="DI3" s="13" t="s">
        <v>68</v>
      </c>
      <c r="DJ3" s="13" t="s">
        <v>69</v>
      </c>
      <c r="DK3" s="12" t="s">
        <v>67</v>
      </c>
      <c r="DL3" s="12" t="s">
        <v>68</v>
      </c>
      <c r="DM3" s="12" t="s">
        <v>69</v>
      </c>
      <c r="DN3" s="13" t="s">
        <v>70</v>
      </c>
      <c r="DO3" s="13" t="s">
        <v>68</v>
      </c>
      <c r="DP3" s="13" t="s">
        <v>69</v>
      </c>
      <c r="DQ3" s="12" t="s">
        <v>67</v>
      </c>
      <c r="DR3" s="12" t="s">
        <v>68</v>
      </c>
      <c r="DS3" s="12" t="s">
        <v>69</v>
      </c>
      <c r="DT3" s="13" t="s">
        <v>70</v>
      </c>
      <c r="DU3" s="13" t="s">
        <v>68</v>
      </c>
      <c r="DV3" s="13" t="s">
        <v>69</v>
      </c>
      <c r="DW3" s="12" t="s">
        <v>67</v>
      </c>
      <c r="DX3" s="12" t="s">
        <v>68</v>
      </c>
      <c r="DY3" s="12" t="s">
        <v>69</v>
      </c>
      <c r="DZ3" s="13" t="s">
        <v>70</v>
      </c>
      <c r="EA3" s="13" t="s">
        <v>68</v>
      </c>
      <c r="EB3" s="13" t="s">
        <v>69</v>
      </c>
      <c r="EC3" s="12" t="s">
        <v>67</v>
      </c>
      <c r="ED3" s="12" t="s">
        <v>68</v>
      </c>
      <c r="EE3" s="12" t="s">
        <v>69</v>
      </c>
      <c r="EF3" s="13" t="s">
        <v>70</v>
      </c>
      <c r="EG3" s="13" t="s">
        <v>68</v>
      </c>
      <c r="EH3" s="13" t="s">
        <v>69</v>
      </c>
      <c r="EI3" s="12" t="s">
        <v>67</v>
      </c>
      <c r="EJ3" s="12" t="s">
        <v>68</v>
      </c>
      <c r="EK3" s="12" t="s">
        <v>69</v>
      </c>
      <c r="EL3" s="13" t="s">
        <v>70</v>
      </c>
      <c r="EM3" s="13" t="s">
        <v>68</v>
      </c>
      <c r="EN3" s="13" t="s">
        <v>69</v>
      </c>
      <c r="EO3" s="12" t="s">
        <v>67</v>
      </c>
      <c r="EP3" s="12" t="s">
        <v>68</v>
      </c>
      <c r="EQ3" s="12" t="s">
        <v>69</v>
      </c>
      <c r="ER3" s="13" t="s">
        <v>70</v>
      </c>
      <c r="ES3" s="13" t="s">
        <v>68</v>
      </c>
      <c r="ET3" s="13" t="s">
        <v>69</v>
      </c>
      <c r="EU3" s="12" t="s">
        <v>67</v>
      </c>
      <c r="EV3" s="12" t="s">
        <v>68</v>
      </c>
      <c r="EW3" s="12" t="s">
        <v>69</v>
      </c>
      <c r="EX3" s="13" t="s">
        <v>70</v>
      </c>
      <c r="EY3" s="13" t="s">
        <v>68</v>
      </c>
      <c r="EZ3" s="13" t="s">
        <v>69</v>
      </c>
      <c r="FA3" s="12" t="s">
        <v>67</v>
      </c>
      <c r="FB3" s="12" t="s">
        <v>68</v>
      </c>
      <c r="FC3" s="12" t="s">
        <v>69</v>
      </c>
      <c r="FD3" s="13" t="s">
        <v>70</v>
      </c>
      <c r="FE3" s="13" t="s">
        <v>68</v>
      </c>
      <c r="FF3" s="13" t="s">
        <v>69</v>
      </c>
      <c r="FG3" s="12" t="s">
        <v>67</v>
      </c>
      <c r="FH3" s="12" t="s">
        <v>68</v>
      </c>
      <c r="FI3" s="23" t="s">
        <v>69</v>
      </c>
      <c r="FJ3" s="13" t="s">
        <v>70</v>
      </c>
      <c r="FK3" s="13" t="s">
        <v>68</v>
      </c>
      <c r="FL3" s="13" t="s">
        <v>69</v>
      </c>
      <c r="FM3" s="12" t="s">
        <v>67</v>
      </c>
      <c r="FN3" s="12" t="s">
        <v>68</v>
      </c>
      <c r="FO3" s="12" t="s">
        <v>69</v>
      </c>
      <c r="FP3" s="13" t="s">
        <v>70</v>
      </c>
      <c r="FQ3" s="13" t="s">
        <v>68</v>
      </c>
      <c r="FR3" s="13" t="s">
        <v>69</v>
      </c>
      <c r="FS3" s="12" t="s">
        <v>67</v>
      </c>
      <c r="FT3" s="12" t="s">
        <v>68</v>
      </c>
      <c r="FU3" s="12" t="s">
        <v>69</v>
      </c>
      <c r="FV3" s="13" t="s">
        <v>70</v>
      </c>
      <c r="FW3" s="13" t="s">
        <v>68</v>
      </c>
      <c r="FX3" s="13" t="s">
        <v>69</v>
      </c>
      <c r="FY3" s="12" t="s">
        <v>67</v>
      </c>
      <c r="FZ3" s="12" t="s">
        <v>68</v>
      </c>
      <c r="GA3" s="12" t="s">
        <v>69</v>
      </c>
      <c r="GB3" s="13" t="s">
        <v>70</v>
      </c>
      <c r="GC3" s="13" t="s">
        <v>68</v>
      </c>
      <c r="GD3" s="13" t="s">
        <v>69</v>
      </c>
      <c r="GE3" s="12" t="s">
        <v>67</v>
      </c>
      <c r="GF3" s="12" t="s">
        <v>68</v>
      </c>
      <c r="GG3" s="12" t="s">
        <v>69</v>
      </c>
      <c r="GH3" s="13" t="s">
        <v>70</v>
      </c>
      <c r="GI3" s="13" t="s">
        <v>68</v>
      </c>
      <c r="GJ3" s="13" t="s">
        <v>69</v>
      </c>
      <c r="GK3" s="12" t="s">
        <v>67</v>
      </c>
      <c r="GL3" s="12" t="s">
        <v>68</v>
      </c>
      <c r="GM3" s="12" t="s">
        <v>69</v>
      </c>
      <c r="GN3" s="13" t="s">
        <v>70</v>
      </c>
      <c r="GO3" s="13" t="s">
        <v>68</v>
      </c>
      <c r="GP3" s="13" t="s">
        <v>69</v>
      </c>
      <c r="GQ3" s="12" t="s">
        <v>67</v>
      </c>
      <c r="GR3" s="12" t="s">
        <v>68</v>
      </c>
      <c r="GS3" s="12" t="s">
        <v>69</v>
      </c>
      <c r="GT3" s="13" t="s">
        <v>70</v>
      </c>
      <c r="GU3" s="13" t="s">
        <v>68</v>
      </c>
      <c r="GV3" s="13" t="s">
        <v>69</v>
      </c>
      <c r="GW3" s="12" t="s">
        <v>67</v>
      </c>
      <c r="GX3" s="12" t="s">
        <v>68</v>
      </c>
      <c r="GY3" s="12" t="s">
        <v>69</v>
      </c>
      <c r="GZ3" s="13" t="s">
        <v>70</v>
      </c>
      <c r="HA3" s="13" t="s">
        <v>68</v>
      </c>
      <c r="HB3" s="13" t="s">
        <v>69</v>
      </c>
      <c r="HC3" s="23"/>
      <c r="HD3" s="23"/>
      <c r="HE3" s="23"/>
      <c r="HF3" s="23"/>
      <c r="HG3" s="23"/>
      <c r="HH3" s="23"/>
      <c r="HI3" s="24" t="s">
        <v>70</v>
      </c>
      <c r="HJ3" s="24" t="s">
        <v>68</v>
      </c>
      <c r="HK3" s="24" t="s">
        <v>69</v>
      </c>
      <c r="HL3" s="24" t="s">
        <v>70</v>
      </c>
      <c r="HM3" s="24" t="s">
        <v>68</v>
      </c>
      <c r="HN3" s="24" t="s">
        <v>69</v>
      </c>
      <c r="HO3" s="24" t="s">
        <v>70</v>
      </c>
      <c r="HP3" s="24" t="s">
        <v>68</v>
      </c>
      <c r="HQ3" s="24" t="s">
        <v>69</v>
      </c>
      <c r="HR3" s="24" t="s">
        <v>70</v>
      </c>
      <c r="HS3" s="24" t="s">
        <v>68</v>
      </c>
      <c r="HT3" s="24" t="s">
        <v>69</v>
      </c>
      <c r="HU3" s="24" t="s">
        <v>70</v>
      </c>
      <c r="HV3" s="24" t="s">
        <v>68</v>
      </c>
      <c r="HW3" s="24" t="s">
        <v>69</v>
      </c>
      <c r="HX3" s="24" t="s">
        <v>70</v>
      </c>
      <c r="HY3" s="24" t="s">
        <v>68</v>
      </c>
      <c r="HZ3" s="24" t="s">
        <v>69</v>
      </c>
      <c r="IA3" s="24" t="s">
        <v>70</v>
      </c>
      <c r="IB3" s="24" t="s">
        <v>68</v>
      </c>
      <c r="IC3" s="24" t="s">
        <v>69</v>
      </c>
      <c r="ID3" s="24" t="s">
        <v>70</v>
      </c>
      <c r="IE3" s="24" t="s">
        <v>68</v>
      </c>
      <c r="IF3" s="24" t="s">
        <v>69</v>
      </c>
      <c r="IG3" s="24" t="s">
        <v>70</v>
      </c>
      <c r="IH3" s="24" t="s">
        <v>68</v>
      </c>
      <c r="II3" s="24" t="s">
        <v>69</v>
      </c>
      <c r="IJ3" s="24" t="s">
        <v>70</v>
      </c>
      <c r="IK3" s="24" t="s">
        <v>68</v>
      </c>
      <c r="IL3" s="24" t="s">
        <v>69</v>
      </c>
      <c r="IM3" s="24" t="s">
        <v>70</v>
      </c>
      <c r="IN3" s="24" t="s">
        <v>68</v>
      </c>
      <c r="IO3" s="24" t="s">
        <v>69</v>
      </c>
      <c r="IP3" s="24" t="s">
        <v>70</v>
      </c>
      <c r="IQ3" s="24" t="s">
        <v>68</v>
      </c>
      <c r="IR3" s="24" t="s">
        <v>69</v>
      </c>
      <c r="IS3" s="24" t="s">
        <v>71</v>
      </c>
      <c r="IT3" s="24" t="s">
        <v>68</v>
      </c>
      <c r="IU3" s="24" t="s">
        <v>72</v>
      </c>
      <c r="IV3" s="24" t="s">
        <v>71</v>
      </c>
      <c r="IW3" s="24" t="s">
        <v>73</v>
      </c>
      <c r="IX3" s="24" t="s">
        <v>72</v>
      </c>
      <c r="IY3" s="24" t="s">
        <v>71</v>
      </c>
      <c r="IZ3" s="24" t="s">
        <v>68</v>
      </c>
      <c r="JA3" s="24" t="s">
        <v>72</v>
      </c>
      <c r="JB3" s="24" t="s">
        <v>71</v>
      </c>
      <c r="JC3" s="24" t="s">
        <v>68</v>
      </c>
      <c r="JD3" s="24" t="s">
        <v>72</v>
      </c>
      <c r="JE3" s="24" t="s">
        <v>71</v>
      </c>
      <c r="JF3" s="24" t="s">
        <v>68</v>
      </c>
      <c r="JG3" s="24" t="s">
        <v>72</v>
      </c>
      <c r="JH3" s="24" t="s">
        <v>71</v>
      </c>
      <c r="JI3" s="24" t="s">
        <v>73</v>
      </c>
      <c r="JJ3" s="24" t="s">
        <v>72</v>
      </c>
      <c r="JK3" s="24" t="s">
        <v>71</v>
      </c>
      <c r="JL3" s="24" t="s">
        <v>68</v>
      </c>
      <c r="JM3" s="24" t="s">
        <v>72</v>
      </c>
      <c r="JN3" s="24" t="s">
        <v>71</v>
      </c>
      <c r="JO3" s="24" t="s">
        <v>73</v>
      </c>
      <c r="JP3" s="24" t="s">
        <v>72</v>
      </c>
      <c r="JQ3" s="24" t="s">
        <v>71</v>
      </c>
      <c r="JR3" s="24" t="s">
        <v>68</v>
      </c>
      <c r="JS3" s="24" t="s">
        <v>72</v>
      </c>
      <c r="JT3" s="24" t="s">
        <v>71</v>
      </c>
      <c r="JU3" s="24" t="s">
        <v>73</v>
      </c>
      <c r="JV3" s="24" t="s">
        <v>72</v>
      </c>
      <c r="JW3" s="24" t="s">
        <v>71</v>
      </c>
      <c r="JX3" s="24" t="s">
        <v>68</v>
      </c>
      <c r="JY3" s="24" t="s">
        <v>72</v>
      </c>
      <c r="JZ3" s="24" t="s">
        <v>74</v>
      </c>
      <c r="KA3" s="24" t="s">
        <v>68</v>
      </c>
      <c r="KB3" s="24" t="s">
        <v>72</v>
      </c>
      <c r="KC3" s="24"/>
    </row>
    <row r="4" ht="111" customHeight="1" spans="2:289">
      <c r="B4" s="14">
        <v>1</v>
      </c>
      <c r="C4" s="15" t="s">
        <v>75</v>
      </c>
      <c r="D4" s="12" t="s">
        <v>76</v>
      </c>
      <c r="E4" s="12" t="s">
        <v>77</v>
      </c>
      <c r="F4" s="12" t="s">
        <v>78</v>
      </c>
      <c r="G4" s="12" t="s">
        <v>78</v>
      </c>
      <c r="H4" s="12"/>
      <c r="I4" s="12" t="s">
        <v>79</v>
      </c>
      <c r="J4" s="12"/>
      <c r="K4" s="12" t="s">
        <v>80</v>
      </c>
      <c r="L4" s="12" t="s">
        <v>81</v>
      </c>
      <c r="M4" s="12" t="s">
        <v>82</v>
      </c>
      <c r="N4" s="12" t="s">
        <v>83</v>
      </c>
      <c r="O4" s="12" t="s">
        <v>79</v>
      </c>
      <c r="P4" s="12" t="s">
        <v>84</v>
      </c>
      <c r="Q4" s="12">
        <v>23</v>
      </c>
      <c r="R4" s="12">
        <v>19</v>
      </c>
      <c r="S4" s="24"/>
      <c r="T4" s="24"/>
      <c r="U4" s="24"/>
      <c r="V4" s="24"/>
      <c r="W4" s="24"/>
      <c r="X4" s="24"/>
      <c r="Y4" s="24">
        <v>22.9</v>
      </c>
      <c r="Z4" s="24">
        <v>0.3</v>
      </c>
      <c r="AA4" s="24">
        <v>23</v>
      </c>
      <c r="AB4" s="24">
        <v>22.4</v>
      </c>
      <c r="AC4" s="24">
        <v>0.1</v>
      </c>
      <c r="AD4" s="24">
        <v>19</v>
      </c>
      <c r="AE4" s="24">
        <v>0.87</v>
      </c>
      <c r="AF4" s="24">
        <v>0.02</v>
      </c>
      <c r="AG4" s="24">
        <v>23</v>
      </c>
      <c r="AH4" s="24">
        <v>0.89</v>
      </c>
      <c r="AI4" s="24">
        <v>0.01</v>
      </c>
      <c r="AJ4" s="24">
        <v>19</v>
      </c>
      <c r="AK4" s="24">
        <v>127</v>
      </c>
      <c r="AL4" s="24">
        <v>2</v>
      </c>
      <c r="AM4" s="24">
        <v>23</v>
      </c>
      <c r="AN4" s="24">
        <v>130</v>
      </c>
      <c r="AO4" s="24">
        <v>1</v>
      </c>
      <c r="AP4" s="24">
        <v>19</v>
      </c>
      <c r="AQ4" s="24">
        <v>82</v>
      </c>
      <c r="AR4" s="24">
        <v>3</v>
      </c>
      <c r="AS4" s="24">
        <v>23</v>
      </c>
      <c r="AT4" s="24">
        <v>90</v>
      </c>
      <c r="AU4" s="24">
        <v>1</v>
      </c>
      <c r="AV4" s="24">
        <v>19</v>
      </c>
      <c r="AW4" s="24">
        <v>198</v>
      </c>
      <c r="AX4" s="24">
        <v>24</v>
      </c>
      <c r="AY4" s="24">
        <v>23</v>
      </c>
      <c r="AZ4" s="24">
        <v>163</v>
      </c>
      <c r="BA4" s="24">
        <v>26</v>
      </c>
      <c r="BB4" s="24">
        <v>19</v>
      </c>
      <c r="BC4" s="24"/>
      <c r="BD4" s="24"/>
      <c r="BE4" s="24"/>
      <c r="BF4" s="24"/>
      <c r="BG4" s="24"/>
      <c r="BH4" s="24"/>
      <c r="BI4" s="24">
        <v>0.24</v>
      </c>
      <c r="BJ4" s="24">
        <v>0.03</v>
      </c>
      <c r="BK4" s="24">
        <v>23</v>
      </c>
      <c r="BL4" s="24">
        <v>0.85</v>
      </c>
      <c r="BM4" s="24">
        <v>0.13</v>
      </c>
      <c r="BN4" s="24">
        <v>19</v>
      </c>
      <c r="BO4" s="24">
        <v>34.8</v>
      </c>
      <c r="BP4" s="24">
        <v>4.3</v>
      </c>
      <c r="BQ4" s="24">
        <v>23</v>
      </c>
      <c r="BR4" s="24">
        <v>109</v>
      </c>
      <c r="BS4" s="24">
        <v>7.5</v>
      </c>
      <c r="BT4" s="24">
        <v>19</v>
      </c>
      <c r="BU4" s="24"/>
      <c r="BV4" s="24"/>
      <c r="BW4" s="24"/>
      <c r="BX4" s="24"/>
      <c r="BY4" s="24"/>
      <c r="BZ4" s="24"/>
      <c r="CA4" s="24">
        <v>1.88</v>
      </c>
      <c r="CB4" s="24">
        <v>0.24</v>
      </c>
      <c r="CC4" s="24">
        <v>23</v>
      </c>
      <c r="CD4" s="24">
        <v>3.2</v>
      </c>
      <c r="CE4" s="24">
        <v>0.35</v>
      </c>
      <c r="CF4" s="24">
        <v>19</v>
      </c>
      <c r="CG4" s="24">
        <v>81.6</v>
      </c>
      <c r="CH4" s="24">
        <v>4</v>
      </c>
      <c r="CI4" s="24">
        <v>23</v>
      </c>
      <c r="CJ4" s="24">
        <v>88</v>
      </c>
      <c r="CK4" s="24">
        <v>4</v>
      </c>
      <c r="CL4" s="24">
        <v>19</v>
      </c>
      <c r="CM4" s="24">
        <v>26</v>
      </c>
      <c r="CN4" s="24">
        <v>8</v>
      </c>
      <c r="CO4" s="24">
        <v>23</v>
      </c>
      <c r="CP4" s="24">
        <v>38</v>
      </c>
      <c r="CQ4" s="24">
        <v>7</v>
      </c>
      <c r="CR4" s="24">
        <v>19</v>
      </c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>
        <v>15.1</v>
      </c>
      <c r="EJ4" s="24">
        <v>2.2</v>
      </c>
      <c r="EK4" s="24">
        <v>23</v>
      </c>
      <c r="EL4" s="24">
        <v>6.6</v>
      </c>
      <c r="EM4" s="24">
        <v>1.3</v>
      </c>
      <c r="EN4" s="24">
        <v>19</v>
      </c>
      <c r="EO4" s="24"/>
      <c r="EP4" s="24"/>
      <c r="EQ4" s="24"/>
      <c r="ER4" s="24"/>
      <c r="ES4" s="24"/>
      <c r="ET4" s="24"/>
      <c r="EU4" s="24">
        <v>196</v>
      </c>
      <c r="EV4" s="24">
        <v>26</v>
      </c>
      <c r="EW4" s="24">
        <v>23</v>
      </c>
      <c r="EX4" s="24">
        <v>306</v>
      </c>
      <c r="EY4" s="24">
        <v>41</v>
      </c>
      <c r="EZ4" s="24">
        <v>19</v>
      </c>
      <c r="FA4" s="24"/>
      <c r="FB4" s="24"/>
      <c r="FC4" s="24"/>
      <c r="FD4" s="24"/>
      <c r="FE4" s="24"/>
      <c r="FF4" s="24"/>
      <c r="FG4" s="24">
        <v>171</v>
      </c>
      <c r="FH4" s="24">
        <v>11</v>
      </c>
      <c r="FI4" s="12">
        <v>23</v>
      </c>
      <c r="FJ4" s="24">
        <v>204</v>
      </c>
      <c r="FK4" s="24">
        <v>9</v>
      </c>
      <c r="FL4" s="24">
        <v>19</v>
      </c>
      <c r="FM4" s="24">
        <v>95</v>
      </c>
      <c r="FN4" s="24">
        <v>17</v>
      </c>
      <c r="FO4" s="24">
        <v>23</v>
      </c>
      <c r="FP4" s="24">
        <v>148</v>
      </c>
      <c r="FQ4" s="24">
        <v>19</v>
      </c>
      <c r="FR4" s="24">
        <v>19</v>
      </c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  <c r="GE4" s="24"/>
      <c r="GF4" s="24"/>
      <c r="GG4" s="24"/>
      <c r="GH4" s="24"/>
      <c r="GI4" s="24"/>
      <c r="GJ4" s="24"/>
      <c r="GK4" s="24"/>
      <c r="GL4" s="24"/>
      <c r="GM4" s="24"/>
      <c r="GN4" s="24"/>
      <c r="GO4" s="24"/>
      <c r="GP4" s="24"/>
      <c r="GQ4" s="24"/>
      <c r="GR4" s="24"/>
      <c r="GS4" s="24"/>
      <c r="GT4" s="24"/>
      <c r="GU4" s="24"/>
      <c r="GV4" s="24"/>
      <c r="GW4" s="24"/>
      <c r="GX4" s="24"/>
      <c r="GY4" s="24"/>
      <c r="GZ4" s="24"/>
      <c r="HA4" s="24"/>
      <c r="HB4" s="24"/>
      <c r="HC4" s="24">
        <v>100</v>
      </c>
      <c r="HD4" s="24">
        <v>37</v>
      </c>
      <c r="HE4" s="24">
        <v>23</v>
      </c>
      <c r="HF4" s="24">
        <v>60</v>
      </c>
      <c r="HG4" s="24">
        <v>16</v>
      </c>
      <c r="HH4" s="24">
        <v>19</v>
      </c>
      <c r="HI4" s="24"/>
      <c r="HJ4" s="24"/>
      <c r="HK4" s="24"/>
      <c r="HL4" s="24"/>
      <c r="HM4" s="24"/>
      <c r="HN4" s="24"/>
      <c r="HO4" s="24">
        <v>5.535</v>
      </c>
      <c r="HP4" s="24">
        <v>1.792</v>
      </c>
      <c r="HQ4" s="24">
        <v>23</v>
      </c>
      <c r="HR4" s="24">
        <v>9.1</v>
      </c>
      <c r="HS4" s="24">
        <v>1.162</v>
      </c>
      <c r="HT4" s="24">
        <v>19</v>
      </c>
      <c r="HU4" s="24">
        <v>5.05</v>
      </c>
      <c r="HV4" s="24">
        <v>0.59</v>
      </c>
      <c r="HW4" s="24">
        <v>23</v>
      </c>
      <c r="HX4" s="24">
        <v>2.81</v>
      </c>
      <c r="HY4" s="24">
        <v>0.54</v>
      </c>
      <c r="HZ4" s="24"/>
      <c r="IA4" s="24"/>
      <c r="IB4" s="24"/>
      <c r="IC4" s="24"/>
      <c r="ID4" s="24"/>
      <c r="IE4" s="24"/>
      <c r="IF4" s="24"/>
      <c r="IG4" s="24"/>
      <c r="IH4" s="24"/>
      <c r="II4" s="24"/>
      <c r="IJ4" s="24"/>
      <c r="IK4" s="24"/>
      <c r="IL4" s="24"/>
      <c r="IM4" s="24"/>
      <c r="IN4" s="24"/>
      <c r="IO4" s="24"/>
      <c r="IP4" s="24"/>
      <c r="IQ4" s="24"/>
      <c r="IR4" s="24"/>
      <c r="IS4" s="24"/>
      <c r="IT4" s="24"/>
      <c r="IU4" s="24"/>
      <c r="IV4" s="24"/>
      <c r="IW4" s="24"/>
      <c r="IX4" s="24"/>
      <c r="IY4" s="24"/>
      <c r="IZ4" s="24"/>
      <c r="JA4" s="24"/>
      <c r="JB4" s="24"/>
      <c r="JC4" s="24"/>
      <c r="JD4" s="24"/>
      <c r="JE4" s="24"/>
      <c r="JF4" s="24"/>
      <c r="JG4" s="24"/>
      <c r="JH4" s="24"/>
      <c r="JI4" s="24"/>
      <c r="JJ4" s="24"/>
      <c r="JK4" s="24"/>
      <c r="JL4" s="24"/>
      <c r="JM4" s="24"/>
      <c r="JN4" s="24"/>
      <c r="JO4" s="24"/>
      <c r="JP4" s="24"/>
      <c r="JQ4" s="24"/>
      <c r="JR4" s="24"/>
      <c r="JS4" s="24"/>
      <c r="JT4" s="24"/>
      <c r="JU4" s="24"/>
      <c r="JV4" s="24"/>
      <c r="JW4" s="24"/>
      <c r="JX4" s="24"/>
      <c r="JY4" s="24"/>
      <c r="JZ4" s="24"/>
      <c r="KA4" s="24"/>
      <c r="KB4" s="24"/>
      <c r="KC4" s="24"/>
    </row>
    <row r="5" ht="225" spans="2:289">
      <c r="B5" s="14">
        <v>2</v>
      </c>
      <c r="C5" s="15" t="s">
        <v>85</v>
      </c>
      <c r="D5" s="13" t="s">
        <v>86</v>
      </c>
      <c r="E5" s="13" t="s">
        <v>87</v>
      </c>
      <c r="F5" s="13" t="s">
        <v>78</v>
      </c>
      <c r="G5" s="13" t="s">
        <v>78</v>
      </c>
      <c r="H5" s="12" t="s">
        <v>88</v>
      </c>
      <c r="I5" s="12" t="s">
        <v>89</v>
      </c>
      <c r="J5" s="12" t="s">
        <v>90</v>
      </c>
      <c r="K5" s="12" t="s">
        <v>91</v>
      </c>
      <c r="L5" s="12"/>
      <c r="M5" s="12" t="s">
        <v>92</v>
      </c>
      <c r="N5" s="12" t="s">
        <v>93</v>
      </c>
      <c r="O5" s="12" t="s">
        <v>94</v>
      </c>
      <c r="P5" s="12" t="s">
        <v>95</v>
      </c>
      <c r="Q5" s="12">
        <v>25</v>
      </c>
      <c r="R5" s="12">
        <v>25</v>
      </c>
      <c r="S5" s="12"/>
      <c r="T5" s="12"/>
      <c r="U5" s="12"/>
      <c r="V5" s="12"/>
      <c r="W5" s="12"/>
      <c r="X5" s="12"/>
      <c r="Y5" s="12">
        <v>27.3</v>
      </c>
      <c r="Z5" s="12">
        <v>1.3</v>
      </c>
      <c r="AA5" s="12">
        <v>25</v>
      </c>
      <c r="AB5" s="12">
        <v>27.5</v>
      </c>
      <c r="AC5" s="12">
        <v>1.7</v>
      </c>
      <c r="AD5" s="12">
        <v>25</v>
      </c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24">
        <v>53.8</v>
      </c>
      <c r="BP5" s="24">
        <v>6.2</v>
      </c>
      <c r="BQ5" s="24">
        <v>25</v>
      </c>
      <c r="BR5" s="24">
        <v>54.2</v>
      </c>
      <c r="BS5" s="24">
        <v>9.1</v>
      </c>
      <c r="BT5" s="24">
        <v>25</v>
      </c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>
        <v>16.5</v>
      </c>
      <c r="CT5" s="12">
        <v>2.9</v>
      </c>
      <c r="CU5" s="12">
        <v>25</v>
      </c>
      <c r="CV5" s="12">
        <v>8.4</v>
      </c>
      <c r="CW5" s="12">
        <v>2.6</v>
      </c>
      <c r="CX5" s="12">
        <v>25</v>
      </c>
      <c r="CY5" s="12">
        <v>1.1</v>
      </c>
      <c r="CZ5" s="12">
        <v>0.3</v>
      </c>
      <c r="DA5" s="12">
        <v>25</v>
      </c>
      <c r="DB5" s="12">
        <v>2.4</v>
      </c>
      <c r="DC5" s="12">
        <v>0.7</v>
      </c>
      <c r="DD5" s="12">
        <v>25</v>
      </c>
      <c r="DE5" s="12"/>
      <c r="DF5" s="12"/>
      <c r="DG5" s="12"/>
      <c r="DH5" s="12"/>
      <c r="DI5" s="12"/>
      <c r="DJ5" s="12"/>
      <c r="DK5" s="12">
        <v>8.6</v>
      </c>
      <c r="DL5" s="12">
        <v>1.6</v>
      </c>
      <c r="DM5" s="12">
        <v>25</v>
      </c>
      <c r="DN5" s="12">
        <v>12.1</v>
      </c>
      <c r="DO5" s="12">
        <v>3.2</v>
      </c>
      <c r="DP5" s="12">
        <v>25</v>
      </c>
      <c r="DQ5" s="12">
        <v>3</v>
      </c>
      <c r="DR5" s="12">
        <v>0.3</v>
      </c>
      <c r="DS5" s="12">
        <v>25</v>
      </c>
      <c r="DT5" s="12">
        <v>4.4</v>
      </c>
      <c r="DU5" s="12">
        <v>0.5</v>
      </c>
      <c r="DV5" s="12">
        <v>25</v>
      </c>
      <c r="DW5" s="12">
        <v>2.1</v>
      </c>
      <c r="DX5" s="12">
        <v>0.4</v>
      </c>
      <c r="DY5" s="12">
        <v>25</v>
      </c>
      <c r="DZ5" s="12">
        <v>2.5</v>
      </c>
      <c r="EA5" s="12">
        <v>0.6</v>
      </c>
      <c r="EB5" s="12">
        <v>25</v>
      </c>
      <c r="EC5" s="12">
        <v>89.1</v>
      </c>
      <c r="ED5" s="12">
        <v>16.4</v>
      </c>
      <c r="EE5" s="12">
        <v>25</v>
      </c>
      <c r="EF5" s="12">
        <v>77.4</v>
      </c>
      <c r="EG5" s="12">
        <v>17</v>
      </c>
      <c r="EH5" s="12">
        <v>25</v>
      </c>
      <c r="EI5" s="12"/>
      <c r="EJ5" s="12"/>
      <c r="EK5" s="12"/>
      <c r="EL5" s="12"/>
      <c r="EM5" s="12"/>
      <c r="EN5" s="12"/>
      <c r="EO5" s="12">
        <v>11.2</v>
      </c>
      <c r="EP5" s="12">
        <v>2.2</v>
      </c>
      <c r="EQ5" s="12">
        <v>25</v>
      </c>
      <c r="ER5" s="12">
        <v>15.7</v>
      </c>
      <c r="ES5" s="12">
        <v>1.9</v>
      </c>
      <c r="ET5" s="12">
        <v>25</v>
      </c>
      <c r="EU5" s="12">
        <v>167.5</v>
      </c>
      <c r="EV5" s="12">
        <v>29</v>
      </c>
      <c r="EW5" s="12">
        <v>25</v>
      </c>
      <c r="EX5" s="12">
        <v>189</v>
      </c>
      <c r="EY5" s="12">
        <v>24</v>
      </c>
      <c r="EZ5" s="12">
        <v>25</v>
      </c>
      <c r="FA5" s="12"/>
      <c r="FB5" s="12"/>
      <c r="FC5" s="12"/>
      <c r="FD5" s="12"/>
      <c r="FE5" s="12"/>
      <c r="FF5" s="12"/>
      <c r="FG5" s="12"/>
      <c r="FH5" s="12"/>
      <c r="FI5" s="24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23"/>
      <c r="HD5" s="23"/>
      <c r="HE5" s="23"/>
      <c r="HF5" s="23"/>
      <c r="HG5" s="23"/>
      <c r="HH5" s="23"/>
      <c r="HI5" s="24"/>
      <c r="HJ5" s="24"/>
      <c r="HK5" s="24"/>
      <c r="HL5" s="24"/>
      <c r="HM5" s="24"/>
      <c r="HN5" s="24"/>
      <c r="HO5" s="24"/>
      <c r="HP5" s="24"/>
      <c r="HQ5" s="24"/>
      <c r="HR5" s="24"/>
      <c r="HS5" s="24"/>
      <c r="HT5" s="24"/>
      <c r="HU5" s="24"/>
      <c r="HV5" s="24"/>
      <c r="HW5" s="24"/>
      <c r="HX5" s="24"/>
      <c r="HY5" s="24"/>
      <c r="HZ5" s="24"/>
      <c r="IA5" s="24">
        <v>1.4</v>
      </c>
      <c r="IB5" s="24">
        <v>0.3</v>
      </c>
      <c r="IC5" s="24">
        <v>25</v>
      </c>
      <c r="ID5" s="24">
        <v>1.2</v>
      </c>
      <c r="IE5" s="24">
        <v>0.4</v>
      </c>
      <c r="IF5" s="24">
        <v>25</v>
      </c>
      <c r="IG5" s="24">
        <v>5.5</v>
      </c>
      <c r="IH5" s="24">
        <v>1.1</v>
      </c>
      <c r="II5" s="24">
        <v>25</v>
      </c>
      <c r="IJ5" s="24">
        <v>10.1</v>
      </c>
      <c r="IK5" s="24">
        <v>1.1</v>
      </c>
      <c r="IL5" s="24">
        <v>25</v>
      </c>
      <c r="IM5" s="24"/>
      <c r="IN5" s="24"/>
      <c r="IO5" s="24"/>
      <c r="IP5" s="24"/>
      <c r="IQ5" s="24"/>
      <c r="IR5" s="24"/>
      <c r="IS5" s="24"/>
      <c r="IT5" s="24"/>
      <c r="IU5" s="24"/>
      <c r="IV5" s="24"/>
      <c r="IW5" s="24"/>
      <c r="IX5" s="24"/>
      <c r="IY5" s="24"/>
      <c r="IZ5" s="24"/>
      <c r="JA5" s="24"/>
      <c r="JB5" s="24"/>
      <c r="JC5" s="24"/>
      <c r="JD5" s="24"/>
      <c r="JE5" s="24"/>
      <c r="JF5" s="24"/>
      <c r="JG5" s="24"/>
      <c r="JH5" s="24"/>
      <c r="JI5" s="24"/>
      <c r="JJ5" s="24"/>
      <c r="JK5" s="24"/>
      <c r="JL5" s="24"/>
      <c r="JM5" s="24"/>
      <c r="JN5" s="24"/>
      <c r="JO5" s="24"/>
      <c r="JP5" s="24"/>
      <c r="JQ5" s="24"/>
      <c r="JR5" s="24"/>
      <c r="JS5" s="24"/>
      <c r="JT5" s="24"/>
      <c r="JU5" s="24"/>
      <c r="JV5" s="24"/>
      <c r="JW5" s="24"/>
      <c r="JX5" s="24"/>
      <c r="JY5" s="24"/>
      <c r="JZ5" s="24"/>
      <c r="KA5" s="24"/>
      <c r="KB5" s="24"/>
      <c r="KC5" s="24"/>
    </row>
    <row r="6" ht="270" spans="2:289">
      <c r="B6" s="14">
        <v>3</v>
      </c>
      <c r="C6" s="15" t="s">
        <v>96</v>
      </c>
      <c r="D6" s="12" t="s">
        <v>97</v>
      </c>
      <c r="E6" s="12" t="s">
        <v>77</v>
      </c>
      <c r="F6" s="12" t="s">
        <v>78</v>
      </c>
      <c r="G6" s="12" t="s">
        <v>78</v>
      </c>
      <c r="H6" s="12" t="s">
        <v>98</v>
      </c>
      <c r="I6" s="12"/>
      <c r="J6" s="12" t="s">
        <v>90</v>
      </c>
      <c r="K6" s="12" t="s">
        <v>91</v>
      </c>
      <c r="L6" s="12"/>
      <c r="M6" s="12" t="s">
        <v>99</v>
      </c>
      <c r="N6" s="21" t="s">
        <v>100</v>
      </c>
      <c r="O6" s="12" t="s">
        <v>94</v>
      </c>
      <c r="P6" s="12" t="s">
        <v>101</v>
      </c>
      <c r="Q6" s="12">
        <v>10</v>
      </c>
      <c r="R6" s="12">
        <v>10</v>
      </c>
      <c r="S6" s="24"/>
      <c r="T6" s="24"/>
      <c r="U6" s="12"/>
      <c r="V6" s="12"/>
      <c r="W6" s="12"/>
      <c r="X6" s="12"/>
      <c r="Y6" s="12">
        <v>28.3</v>
      </c>
      <c r="Z6" s="12">
        <v>1.3</v>
      </c>
      <c r="AA6" s="12">
        <v>10</v>
      </c>
      <c r="AB6" s="12">
        <v>28.8</v>
      </c>
      <c r="AC6" s="12">
        <v>1.7</v>
      </c>
      <c r="AD6" s="12">
        <v>10</v>
      </c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12"/>
      <c r="AX6" s="12"/>
      <c r="AY6" s="12"/>
      <c r="AZ6" s="12"/>
      <c r="BA6" s="12"/>
      <c r="BB6" s="12"/>
      <c r="BC6" s="12"/>
      <c r="BD6" s="12"/>
      <c r="BE6" s="12"/>
      <c r="BF6" s="24"/>
      <c r="BG6" s="24"/>
      <c r="BH6" s="24"/>
      <c r="BI6" s="24"/>
      <c r="BJ6" s="24"/>
      <c r="BK6" s="24"/>
      <c r="BL6" s="24"/>
      <c r="BM6" s="24"/>
      <c r="BN6" s="24"/>
      <c r="BO6" s="24">
        <v>54.8</v>
      </c>
      <c r="BP6" s="24">
        <v>6.2</v>
      </c>
      <c r="BQ6" s="24">
        <v>10</v>
      </c>
      <c r="BR6" s="24">
        <v>55.2</v>
      </c>
      <c r="BS6" s="24">
        <v>9.1</v>
      </c>
      <c r="BT6" s="24">
        <v>10</v>
      </c>
      <c r="BU6" s="24"/>
      <c r="BV6" s="24"/>
      <c r="BW6" s="24"/>
      <c r="BX6" s="24"/>
      <c r="BY6" s="24"/>
      <c r="BZ6" s="24"/>
      <c r="CA6" s="12"/>
      <c r="CB6" s="12"/>
      <c r="CC6" s="12"/>
      <c r="CD6" s="24"/>
      <c r="CE6" s="24"/>
      <c r="CF6" s="24"/>
      <c r="CG6" s="12"/>
      <c r="CH6" s="12"/>
      <c r="CI6" s="12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>
        <v>1.4</v>
      </c>
      <c r="CZ6" s="24">
        <v>0.3</v>
      </c>
      <c r="DA6" s="24">
        <v>10</v>
      </c>
      <c r="DB6" s="24">
        <v>2.5</v>
      </c>
      <c r="DC6" s="24">
        <v>0.7</v>
      </c>
      <c r="DD6" s="24">
        <v>10</v>
      </c>
      <c r="DE6" s="24"/>
      <c r="DF6" s="24"/>
      <c r="DG6" s="24"/>
      <c r="DH6" s="24"/>
      <c r="DI6" s="24"/>
      <c r="DJ6" s="24"/>
      <c r="DK6" s="24">
        <v>9.6</v>
      </c>
      <c r="DL6" s="24">
        <v>1.6</v>
      </c>
      <c r="DM6" s="24">
        <v>10</v>
      </c>
      <c r="DN6" s="24">
        <v>13.1</v>
      </c>
      <c r="DO6" s="24">
        <v>3.2</v>
      </c>
      <c r="DP6" s="24">
        <v>10</v>
      </c>
      <c r="DQ6" s="24">
        <v>4</v>
      </c>
      <c r="DR6" s="24">
        <v>0.3</v>
      </c>
      <c r="DS6" s="24">
        <v>10</v>
      </c>
      <c r="DT6" s="24">
        <v>4.6</v>
      </c>
      <c r="DU6" s="24">
        <v>0.5</v>
      </c>
      <c r="DV6" s="24">
        <v>10</v>
      </c>
      <c r="DW6" s="24">
        <v>2.4</v>
      </c>
      <c r="DX6" s="24">
        <v>0.4</v>
      </c>
      <c r="DY6" s="24">
        <v>10</v>
      </c>
      <c r="DZ6" s="24">
        <v>2.8</v>
      </c>
      <c r="EA6" s="24">
        <v>0.6</v>
      </c>
      <c r="EB6" s="24">
        <v>10</v>
      </c>
      <c r="EC6" s="24">
        <v>90.1</v>
      </c>
      <c r="ED6" s="24">
        <v>16.4</v>
      </c>
      <c r="EE6" s="24">
        <v>10</v>
      </c>
      <c r="EF6" s="24">
        <v>78.5</v>
      </c>
      <c r="EG6" s="24">
        <v>17</v>
      </c>
      <c r="EH6" s="24">
        <v>10</v>
      </c>
      <c r="EI6" s="24">
        <v>1.4</v>
      </c>
      <c r="EJ6" s="24">
        <v>0.4</v>
      </c>
      <c r="EK6" s="24">
        <v>10</v>
      </c>
      <c r="EL6" s="24">
        <v>1.4</v>
      </c>
      <c r="EM6" s="24">
        <v>0.4</v>
      </c>
      <c r="EN6" s="24">
        <v>10</v>
      </c>
      <c r="EO6" s="24">
        <v>12.2</v>
      </c>
      <c r="EP6" s="24">
        <v>2.2</v>
      </c>
      <c r="EQ6" s="24">
        <v>10</v>
      </c>
      <c r="ER6" s="24">
        <v>16.8</v>
      </c>
      <c r="ES6" s="24">
        <v>1.9</v>
      </c>
      <c r="ET6" s="24">
        <v>10</v>
      </c>
      <c r="EU6" s="24">
        <v>170.5</v>
      </c>
      <c r="EV6" s="24">
        <v>29</v>
      </c>
      <c r="EW6" s="24">
        <v>10</v>
      </c>
      <c r="EX6" s="24">
        <v>191</v>
      </c>
      <c r="EY6" s="24">
        <v>24</v>
      </c>
      <c r="EZ6" s="24">
        <v>10</v>
      </c>
      <c r="FA6" s="24"/>
      <c r="FB6" s="24"/>
      <c r="FC6" s="24"/>
      <c r="FD6" s="24"/>
      <c r="FE6" s="24"/>
      <c r="FF6" s="24"/>
      <c r="FG6" s="24"/>
      <c r="FH6" s="24"/>
      <c r="FI6" s="13"/>
      <c r="FJ6" s="24"/>
      <c r="FK6" s="24"/>
      <c r="FL6" s="24"/>
      <c r="FM6" s="24"/>
      <c r="FN6" s="24"/>
      <c r="FO6" s="24"/>
      <c r="FP6" s="24"/>
      <c r="FQ6" s="24"/>
      <c r="FR6" s="24"/>
      <c r="FS6" s="24"/>
      <c r="FT6" s="24"/>
      <c r="FU6" s="24"/>
      <c r="FV6" s="24"/>
      <c r="FW6" s="24"/>
      <c r="FX6" s="24"/>
      <c r="FY6" s="24"/>
      <c r="FZ6" s="24"/>
      <c r="GA6" s="24"/>
      <c r="GB6" s="24"/>
      <c r="GC6" s="24"/>
      <c r="GD6" s="24"/>
      <c r="GE6" s="24"/>
      <c r="GF6" s="24"/>
      <c r="GG6" s="24"/>
      <c r="GH6" s="24"/>
      <c r="GI6" s="24"/>
      <c r="GJ6" s="24"/>
      <c r="GK6" s="24"/>
      <c r="GL6" s="24"/>
      <c r="GM6" s="24"/>
      <c r="GN6" s="24"/>
      <c r="GO6" s="24"/>
      <c r="GP6" s="24"/>
      <c r="GQ6" s="24"/>
      <c r="GR6" s="24"/>
      <c r="GS6" s="24"/>
      <c r="GT6" s="24"/>
      <c r="GU6" s="24"/>
      <c r="GV6" s="24"/>
      <c r="GW6" s="24"/>
      <c r="GX6" s="24"/>
      <c r="GY6" s="24"/>
      <c r="GZ6" s="24"/>
      <c r="HA6" s="24"/>
      <c r="HB6" s="24"/>
      <c r="HC6" s="24"/>
      <c r="HD6" s="24"/>
      <c r="HE6" s="24"/>
      <c r="HF6" s="24"/>
      <c r="HG6" s="24"/>
      <c r="HH6" s="24"/>
      <c r="HI6" s="24"/>
      <c r="HJ6" s="24"/>
      <c r="HK6" s="24"/>
      <c r="HL6" s="24"/>
      <c r="HM6" s="24"/>
      <c r="HN6" s="24"/>
      <c r="HO6" s="24"/>
      <c r="HP6" s="24"/>
      <c r="HQ6" s="24"/>
      <c r="HR6" s="24"/>
      <c r="HS6" s="24"/>
      <c r="HT6" s="24"/>
      <c r="HU6" s="24"/>
      <c r="HV6" s="24"/>
      <c r="HW6" s="24"/>
      <c r="HX6" s="24"/>
      <c r="HY6" s="24"/>
      <c r="HZ6" s="24"/>
      <c r="IA6" s="24">
        <v>1.5</v>
      </c>
      <c r="IB6" s="24">
        <v>0.3</v>
      </c>
      <c r="IC6" s="24">
        <v>10</v>
      </c>
      <c r="ID6" s="24">
        <v>1.3</v>
      </c>
      <c r="IE6" s="24">
        <v>0.4</v>
      </c>
      <c r="IF6" s="24">
        <v>10</v>
      </c>
      <c r="IG6" s="24">
        <v>6.5</v>
      </c>
      <c r="IH6" s="24">
        <v>1.1</v>
      </c>
      <c r="II6" s="24">
        <v>10</v>
      </c>
      <c r="IJ6" s="24">
        <v>11.3</v>
      </c>
      <c r="IK6" s="24">
        <v>1.1</v>
      </c>
      <c r="IL6" s="24">
        <v>10</v>
      </c>
      <c r="IM6" s="24">
        <v>1.7</v>
      </c>
      <c r="IN6" s="24">
        <v>0.2</v>
      </c>
      <c r="IO6" s="24">
        <v>10</v>
      </c>
      <c r="IP6" s="24">
        <v>1.6</v>
      </c>
      <c r="IQ6" s="24">
        <v>0.5</v>
      </c>
      <c r="IR6" s="24">
        <v>10</v>
      </c>
      <c r="IS6" s="24"/>
      <c r="IT6" s="24"/>
      <c r="IU6" s="24"/>
      <c r="IV6" s="24"/>
      <c r="IW6" s="24"/>
      <c r="IX6" s="24"/>
      <c r="IY6" s="24"/>
      <c r="IZ6" s="24"/>
      <c r="JA6" s="24"/>
      <c r="JB6" s="24"/>
      <c r="JC6" s="24"/>
      <c r="JD6" s="24"/>
      <c r="JE6" s="24"/>
      <c r="JF6" s="24"/>
      <c r="JG6" s="24"/>
      <c r="JH6" s="24"/>
      <c r="JI6" s="24"/>
      <c r="JJ6" s="24"/>
      <c r="JK6" s="24"/>
      <c r="JL6" s="24"/>
      <c r="JM6" s="24"/>
      <c r="JN6" s="24"/>
      <c r="JO6" s="24"/>
      <c r="JP6" s="24"/>
      <c r="JQ6" s="24"/>
      <c r="JR6" s="24"/>
      <c r="JS6" s="24"/>
      <c r="JT6" s="24"/>
      <c r="JU6" s="24"/>
      <c r="JV6" s="24"/>
      <c r="JW6" s="24"/>
      <c r="JX6" s="24"/>
      <c r="JY6" s="24"/>
      <c r="JZ6" s="24"/>
      <c r="KA6" s="24"/>
      <c r="KB6" s="24"/>
      <c r="KC6" s="24"/>
    </row>
    <row r="7" ht="218.25" customHeight="1" spans="2:289">
      <c r="B7" s="12">
        <v>4</v>
      </c>
      <c r="C7" s="16" t="s">
        <v>102</v>
      </c>
      <c r="D7" s="12" t="s">
        <v>97</v>
      </c>
      <c r="E7" s="12" t="s">
        <v>103</v>
      </c>
      <c r="F7" s="12" t="s">
        <v>78</v>
      </c>
      <c r="G7" s="12" t="s">
        <v>78</v>
      </c>
      <c r="H7" s="12" t="s">
        <v>104</v>
      </c>
      <c r="I7" s="12" t="s">
        <v>105</v>
      </c>
      <c r="J7" s="12" t="s">
        <v>90</v>
      </c>
      <c r="K7" s="12" t="s">
        <v>106</v>
      </c>
      <c r="L7" s="12" t="s">
        <v>107</v>
      </c>
      <c r="M7" s="12" t="s">
        <v>108</v>
      </c>
      <c r="N7" s="12" t="s">
        <v>109</v>
      </c>
      <c r="O7" s="12"/>
      <c r="P7" s="12" t="s">
        <v>110</v>
      </c>
      <c r="Q7" s="12">
        <v>50</v>
      </c>
      <c r="R7" s="12">
        <v>50</v>
      </c>
      <c r="S7" s="24"/>
      <c r="T7" s="24"/>
      <c r="U7" s="24"/>
      <c r="V7" s="24"/>
      <c r="W7" s="24"/>
      <c r="X7" s="24"/>
      <c r="Y7" s="12">
        <v>29.79</v>
      </c>
      <c r="Z7" s="12">
        <v>3.58</v>
      </c>
      <c r="AA7" s="12">
        <v>50</v>
      </c>
      <c r="AB7" s="12">
        <v>27.38</v>
      </c>
      <c r="AC7" s="12">
        <v>4.02</v>
      </c>
      <c r="AD7" s="12">
        <v>50</v>
      </c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>
        <v>105.4</v>
      </c>
      <c r="CH7" s="24">
        <v>16.92</v>
      </c>
      <c r="CI7" s="24">
        <v>50</v>
      </c>
      <c r="CJ7" s="24">
        <v>102.92</v>
      </c>
      <c r="CK7" s="24">
        <v>18.55</v>
      </c>
      <c r="CL7" s="24">
        <v>50</v>
      </c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4"/>
      <c r="DV7" s="24"/>
      <c r="DW7" s="24" t="s">
        <v>111</v>
      </c>
      <c r="DX7" s="24"/>
      <c r="DY7" s="24">
        <v>50</v>
      </c>
      <c r="DZ7" s="35" t="s">
        <v>112</v>
      </c>
      <c r="EA7" s="24"/>
      <c r="EB7" s="24">
        <v>50</v>
      </c>
      <c r="EC7" s="24"/>
      <c r="ED7" s="24"/>
      <c r="EE7" s="24"/>
      <c r="EF7" s="24"/>
      <c r="EG7" s="24"/>
      <c r="EH7" s="24"/>
      <c r="EI7" s="24"/>
      <c r="EJ7" s="24"/>
      <c r="EK7" s="24"/>
      <c r="EL7" s="24"/>
      <c r="EM7" s="24"/>
      <c r="EN7" s="24"/>
      <c r="EO7" s="24"/>
      <c r="EP7" s="24"/>
      <c r="EQ7" s="24"/>
      <c r="ER7" s="24"/>
      <c r="ES7" s="24"/>
      <c r="ET7" s="24"/>
      <c r="EU7" s="24"/>
      <c r="EV7" s="24"/>
      <c r="EW7" s="24"/>
      <c r="EX7" s="24"/>
      <c r="EY7" s="24"/>
      <c r="EZ7" s="24"/>
      <c r="FA7" s="24"/>
      <c r="FB7" s="24"/>
      <c r="FC7" s="24"/>
      <c r="FD7" s="24"/>
      <c r="FE7" s="24"/>
      <c r="FF7" s="24"/>
      <c r="FG7" s="24">
        <v>181.54</v>
      </c>
      <c r="FH7" s="24">
        <v>23.08</v>
      </c>
      <c r="FI7" s="24">
        <v>50</v>
      </c>
      <c r="FJ7" s="24">
        <v>176.14</v>
      </c>
      <c r="FK7" s="24">
        <v>20.44</v>
      </c>
      <c r="FL7" s="24">
        <v>50</v>
      </c>
      <c r="FM7" s="24">
        <v>145.36</v>
      </c>
      <c r="FN7" s="24">
        <v>16.28</v>
      </c>
      <c r="FO7" s="24">
        <v>50</v>
      </c>
      <c r="FP7" s="24">
        <v>146.2</v>
      </c>
      <c r="FQ7" s="24">
        <v>16.35</v>
      </c>
      <c r="FR7" s="24">
        <v>50</v>
      </c>
      <c r="FS7" s="24"/>
      <c r="FT7" s="24"/>
      <c r="FU7" s="24"/>
      <c r="FV7" s="24"/>
      <c r="FW7" s="24"/>
      <c r="FX7" s="24"/>
      <c r="FY7" s="24"/>
      <c r="FZ7" s="24"/>
      <c r="GA7" s="24"/>
      <c r="GB7" s="24"/>
      <c r="GC7" s="24"/>
      <c r="GD7" s="24"/>
      <c r="GE7" s="24"/>
      <c r="GF7" s="24"/>
      <c r="GG7" s="24"/>
      <c r="GH7" s="24"/>
      <c r="GI7" s="24"/>
      <c r="GJ7" s="24"/>
      <c r="GK7" s="24"/>
      <c r="GL7" s="24"/>
      <c r="GM7" s="24"/>
      <c r="GN7" s="24"/>
      <c r="GO7" s="24"/>
      <c r="GP7" s="24"/>
      <c r="GQ7" s="24"/>
      <c r="GR7" s="24"/>
      <c r="GS7" s="24"/>
      <c r="GT7" s="24"/>
      <c r="GU7" s="24"/>
      <c r="GV7" s="24"/>
      <c r="GW7" s="24"/>
      <c r="GX7" s="24"/>
      <c r="GY7" s="24"/>
      <c r="GZ7" s="24"/>
      <c r="HA7" s="24"/>
      <c r="HB7" s="24"/>
      <c r="HC7" s="24">
        <v>62</v>
      </c>
      <c r="HD7" s="24">
        <v>48</v>
      </c>
      <c r="HE7" s="24"/>
      <c r="HF7" s="24"/>
      <c r="HG7" s="24"/>
      <c r="HH7" s="24"/>
      <c r="HI7" s="24"/>
      <c r="HJ7" s="24"/>
      <c r="HK7" s="24"/>
      <c r="HL7" s="24"/>
      <c r="HM7" s="24"/>
      <c r="HN7" s="24"/>
      <c r="HO7" s="24"/>
      <c r="HP7" s="24"/>
      <c r="HQ7" s="24"/>
      <c r="HR7" s="24"/>
      <c r="HS7" s="24"/>
      <c r="HT7" s="24"/>
      <c r="HU7" s="24"/>
      <c r="HV7" s="24"/>
      <c r="HW7" s="24"/>
      <c r="HX7" s="24"/>
      <c r="HY7" s="24"/>
      <c r="HZ7" s="24"/>
      <c r="IA7" s="24"/>
      <c r="IB7" s="24"/>
      <c r="IC7" s="24"/>
      <c r="ID7" s="24"/>
      <c r="IE7" s="24"/>
      <c r="IF7" s="24"/>
      <c r="IG7" s="24"/>
      <c r="IH7" s="24"/>
      <c r="II7" s="24"/>
      <c r="IJ7" s="24"/>
      <c r="IK7" s="24"/>
      <c r="IL7" s="24"/>
      <c r="IM7" s="24"/>
      <c r="IN7" s="24"/>
      <c r="IO7" s="24"/>
      <c r="IP7" s="24"/>
      <c r="IQ7" s="24"/>
      <c r="IR7" s="24"/>
      <c r="IS7" s="24"/>
      <c r="IT7" s="24"/>
      <c r="IU7" s="24"/>
      <c r="IV7" s="24"/>
      <c r="IW7" s="24"/>
      <c r="IX7" s="24"/>
      <c r="IY7" s="24"/>
      <c r="IZ7" s="24"/>
      <c r="JA7" s="24"/>
      <c r="JB7" s="24"/>
      <c r="JC7" s="24"/>
      <c r="JD7" s="24"/>
      <c r="JE7" s="24"/>
      <c r="JF7" s="24"/>
      <c r="JG7" s="24"/>
      <c r="JH7" s="24"/>
      <c r="JI7" s="24"/>
      <c r="JJ7" s="24"/>
      <c r="JK7" s="24"/>
      <c r="JL7" s="24"/>
      <c r="JM7" s="24"/>
      <c r="JN7" s="24"/>
      <c r="JO7" s="24"/>
      <c r="JP7" s="24"/>
      <c r="JQ7" s="24"/>
      <c r="JR7" s="24"/>
      <c r="JS7" s="24"/>
      <c r="JT7" s="24"/>
      <c r="JU7" s="24"/>
      <c r="JV7" s="24"/>
      <c r="JW7" s="24"/>
      <c r="JX7" s="24"/>
      <c r="JY7" s="24"/>
      <c r="JZ7" s="24"/>
      <c r="KA7" s="24"/>
      <c r="KB7" s="24"/>
      <c r="KC7" s="24"/>
    </row>
    <row r="8" ht="147.75" customHeight="1" spans="2:289">
      <c r="B8" s="14">
        <v>5</v>
      </c>
      <c r="C8" s="17" t="s">
        <v>113</v>
      </c>
      <c r="D8" s="12" t="s">
        <v>114</v>
      </c>
      <c r="E8" s="13" t="s">
        <v>87</v>
      </c>
      <c r="F8" s="12" t="s">
        <v>78</v>
      </c>
      <c r="G8" s="12" t="s">
        <v>78</v>
      </c>
      <c r="H8" s="12"/>
      <c r="I8" s="12" t="s">
        <v>115</v>
      </c>
      <c r="J8" s="12" t="s">
        <v>116</v>
      </c>
      <c r="K8" s="12" t="s">
        <v>117</v>
      </c>
      <c r="L8" s="12" t="s">
        <v>118</v>
      </c>
      <c r="M8" s="12" t="s">
        <v>119</v>
      </c>
      <c r="N8" s="22" t="s">
        <v>120</v>
      </c>
      <c r="O8" s="12" t="s">
        <v>121</v>
      </c>
      <c r="P8" s="12" t="s">
        <v>122</v>
      </c>
      <c r="Q8" s="12">
        <v>45</v>
      </c>
      <c r="R8" s="12">
        <v>47</v>
      </c>
      <c r="S8" s="24"/>
      <c r="T8" s="24"/>
      <c r="U8" s="24"/>
      <c r="V8" s="24"/>
      <c r="W8" s="24"/>
      <c r="X8" s="24"/>
      <c r="Y8" s="12">
        <v>34.4</v>
      </c>
      <c r="Z8" s="12">
        <v>8.55</v>
      </c>
      <c r="AA8" s="12">
        <v>45</v>
      </c>
      <c r="AB8" s="12">
        <v>35.5</v>
      </c>
      <c r="AC8" s="12">
        <v>8.044</v>
      </c>
      <c r="AD8" s="12">
        <v>47</v>
      </c>
      <c r="AE8" s="12">
        <v>0.89</v>
      </c>
      <c r="AF8" s="12">
        <v>0.06</v>
      </c>
      <c r="AG8" s="12">
        <v>45</v>
      </c>
      <c r="AH8" s="12">
        <v>0.9</v>
      </c>
      <c r="AI8" s="12">
        <v>0.069</v>
      </c>
      <c r="AJ8" s="12">
        <v>47</v>
      </c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>
        <v>95.1</v>
      </c>
      <c r="BP8" s="24">
        <v>69.04</v>
      </c>
      <c r="BQ8" s="24">
        <v>45</v>
      </c>
      <c r="BR8" s="24">
        <v>118.15</v>
      </c>
      <c r="BS8" s="24">
        <v>70.56</v>
      </c>
      <c r="BT8" s="24">
        <v>47</v>
      </c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>
        <v>91.89</v>
      </c>
      <c r="CH8" s="24">
        <v>13.5</v>
      </c>
      <c r="CI8" s="24">
        <v>45</v>
      </c>
      <c r="CJ8" s="24">
        <v>90.091</v>
      </c>
      <c r="CK8" s="24">
        <v>4.4</v>
      </c>
      <c r="CL8" s="24">
        <v>47</v>
      </c>
      <c r="CM8" s="24">
        <v>16.8</v>
      </c>
      <c r="CN8" s="24">
        <v>10.26</v>
      </c>
      <c r="CO8" s="24">
        <v>45</v>
      </c>
      <c r="CP8" s="24">
        <v>18.4</v>
      </c>
      <c r="CQ8" s="24">
        <v>11.89</v>
      </c>
      <c r="CR8" s="24">
        <v>47</v>
      </c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4"/>
      <c r="EC8" s="24">
        <v>60.48</v>
      </c>
      <c r="ED8" s="24">
        <v>14.1</v>
      </c>
      <c r="EE8" s="24">
        <v>45</v>
      </c>
      <c r="EF8" s="24">
        <v>47.79</v>
      </c>
      <c r="EG8" s="24">
        <v>18.23</v>
      </c>
      <c r="EH8" s="24">
        <v>47</v>
      </c>
      <c r="EI8" s="24"/>
      <c r="EJ8" s="24"/>
      <c r="EK8" s="24"/>
      <c r="EL8" s="24"/>
      <c r="EM8" s="24"/>
      <c r="EN8" s="24"/>
      <c r="EO8" s="24"/>
      <c r="EP8" s="24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24"/>
      <c r="FC8" s="24"/>
      <c r="FD8" s="24"/>
      <c r="FE8" s="24"/>
      <c r="FF8" s="24"/>
      <c r="FG8" s="24">
        <v>170.92</v>
      </c>
      <c r="FH8" s="24"/>
      <c r="FI8" s="24">
        <v>45</v>
      </c>
      <c r="FJ8" s="24">
        <v>190.26</v>
      </c>
      <c r="FK8" s="24"/>
      <c r="FL8" s="24">
        <v>47</v>
      </c>
      <c r="FM8" s="24">
        <v>141.72</v>
      </c>
      <c r="FN8" s="24"/>
      <c r="FO8" s="24">
        <v>45</v>
      </c>
      <c r="FP8" s="24">
        <v>126.66</v>
      </c>
      <c r="FQ8" s="24"/>
      <c r="FR8" s="24">
        <v>47</v>
      </c>
      <c r="FS8" s="24">
        <v>111.76</v>
      </c>
      <c r="FT8" s="24"/>
      <c r="FU8" s="24">
        <v>45</v>
      </c>
      <c r="FV8" s="24">
        <v>128.38</v>
      </c>
      <c r="FW8" s="24"/>
      <c r="FX8" s="24">
        <v>47</v>
      </c>
      <c r="FY8" s="24">
        <v>44.86</v>
      </c>
      <c r="FZ8" s="24"/>
      <c r="GA8" s="24">
        <v>45</v>
      </c>
      <c r="GB8" s="24">
        <v>44.77</v>
      </c>
      <c r="GC8" s="24"/>
      <c r="GD8" s="24">
        <v>47</v>
      </c>
      <c r="GE8" s="24">
        <v>21.27</v>
      </c>
      <c r="GF8" s="24"/>
      <c r="GG8" s="24">
        <v>45</v>
      </c>
      <c r="GH8" s="24">
        <v>20.11</v>
      </c>
      <c r="GI8" s="24"/>
      <c r="GJ8" s="24">
        <v>47</v>
      </c>
      <c r="GK8" s="24"/>
      <c r="GL8" s="24"/>
      <c r="GM8" s="24"/>
      <c r="GN8" s="24"/>
      <c r="GO8" s="24"/>
      <c r="GP8" s="24"/>
      <c r="GQ8" s="24"/>
      <c r="GR8" s="24"/>
      <c r="GS8" s="24"/>
      <c r="GT8" s="24"/>
      <c r="GU8" s="24"/>
      <c r="GV8" s="24"/>
      <c r="GW8" s="24"/>
      <c r="GX8" s="24"/>
      <c r="GY8" s="24"/>
      <c r="GZ8" s="24"/>
      <c r="HA8" s="24"/>
      <c r="HB8" s="24"/>
      <c r="HC8" s="24"/>
      <c r="HD8" s="24"/>
      <c r="HE8" s="24"/>
      <c r="HF8" s="24"/>
      <c r="HG8" s="24"/>
      <c r="HH8" s="24"/>
      <c r="HI8" s="24"/>
      <c r="HJ8" s="24"/>
      <c r="HK8" s="24"/>
      <c r="HL8" s="24"/>
      <c r="HM8" s="24"/>
      <c r="HN8" s="24"/>
      <c r="HO8" s="24" t="s">
        <v>123</v>
      </c>
      <c r="HP8" s="24"/>
      <c r="HQ8" s="24"/>
      <c r="HR8" s="24"/>
      <c r="HS8" s="24"/>
      <c r="HT8" s="24"/>
      <c r="HU8" s="24"/>
      <c r="HV8" s="24"/>
      <c r="HW8" s="24"/>
      <c r="HX8" s="24"/>
      <c r="HY8" s="24"/>
      <c r="HZ8" s="24"/>
      <c r="IA8" s="24"/>
      <c r="IB8" s="24"/>
      <c r="IC8" s="24"/>
      <c r="ID8" s="24"/>
      <c r="IE8" s="24"/>
      <c r="IF8" s="24"/>
      <c r="IG8" s="24"/>
      <c r="IH8" s="24"/>
      <c r="II8" s="24"/>
      <c r="IJ8" s="24"/>
      <c r="IK8" s="24"/>
      <c r="IL8" s="24"/>
      <c r="IM8" s="24"/>
      <c r="IN8" s="24"/>
      <c r="IO8" s="24"/>
      <c r="IP8" s="24"/>
      <c r="IQ8" s="24"/>
      <c r="IR8" s="24"/>
      <c r="IS8" s="24"/>
      <c r="IT8" s="24"/>
      <c r="IU8" s="24"/>
      <c r="IV8" s="24"/>
      <c r="IW8" s="24"/>
      <c r="IX8" s="24"/>
      <c r="IY8" s="24"/>
      <c r="IZ8" s="24"/>
      <c r="JA8" s="24"/>
      <c r="JB8" s="24"/>
      <c r="JC8" s="24"/>
      <c r="JD8" s="24"/>
      <c r="JE8" s="24"/>
      <c r="JF8" s="24"/>
      <c r="JG8" s="24"/>
      <c r="JH8" s="24"/>
      <c r="JI8" s="24"/>
      <c r="JJ8" s="24"/>
      <c r="JK8" s="24"/>
      <c r="JL8" s="24"/>
      <c r="JM8" s="24"/>
      <c r="JN8" s="24"/>
      <c r="JO8" s="24"/>
      <c r="JP8" s="24"/>
      <c r="JQ8" s="24"/>
      <c r="JR8" s="24"/>
      <c r="JS8" s="24"/>
      <c r="JT8" s="24"/>
      <c r="JU8" s="24"/>
      <c r="JV8" s="24"/>
      <c r="JW8" s="24"/>
      <c r="JX8" s="24"/>
      <c r="JY8" s="24"/>
      <c r="JZ8" s="24"/>
      <c r="KA8" s="24"/>
      <c r="KB8" s="24"/>
      <c r="KC8" s="24"/>
    </row>
    <row r="9" ht="314.25" customHeight="1" spans="2:289">
      <c r="B9" s="14">
        <v>6</v>
      </c>
      <c r="C9" s="15" t="s">
        <v>124</v>
      </c>
      <c r="D9" s="12" t="s">
        <v>97</v>
      </c>
      <c r="E9" s="13" t="s">
        <v>125</v>
      </c>
      <c r="F9" s="12" t="s">
        <v>78</v>
      </c>
      <c r="G9" s="12" t="s">
        <v>78</v>
      </c>
      <c r="H9" s="12" t="s">
        <v>126</v>
      </c>
      <c r="I9" s="12" t="s">
        <v>94</v>
      </c>
      <c r="J9" s="12" t="s">
        <v>127</v>
      </c>
      <c r="K9" s="12" t="s">
        <v>127</v>
      </c>
      <c r="L9" s="12" t="s">
        <v>128</v>
      </c>
      <c r="M9" s="12" t="s">
        <v>129</v>
      </c>
      <c r="N9" s="12" t="s">
        <v>130</v>
      </c>
      <c r="O9" s="12" t="s">
        <v>94</v>
      </c>
      <c r="P9" s="12" t="s">
        <v>131</v>
      </c>
      <c r="Q9" s="12">
        <v>18</v>
      </c>
      <c r="R9" s="12">
        <v>8</v>
      </c>
      <c r="S9" s="24">
        <v>57.1</v>
      </c>
      <c r="T9" s="12">
        <v>1.86</v>
      </c>
      <c r="U9" s="12">
        <v>18</v>
      </c>
      <c r="V9" s="12">
        <v>59.1</v>
      </c>
      <c r="W9" s="12">
        <v>0.71</v>
      </c>
      <c r="X9" s="12">
        <v>8</v>
      </c>
      <c r="Y9" s="26">
        <f>21.6-0.69</f>
        <v>20.91</v>
      </c>
      <c r="Z9" s="26">
        <v>0.69</v>
      </c>
      <c r="AA9" s="26">
        <v>18</v>
      </c>
      <c r="AB9" s="26">
        <f>21.9+0.09</f>
        <v>21.99</v>
      </c>
      <c r="AC9" s="25">
        <v>0.27</v>
      </c>
      <c r="AD9" s="26">
        <v>8</v>
      </c>
      <c r="AE9" s="12"/>
      <c r="AF9" s="12"/>
      <c r="AG9" s="12"/>
      <c r="AH9" s="12"/>
      <c r="AI9" s="12"/>
      <c r="AJ9" s="12"/>
      <c r="AK9" s="24">
        <f>117.2-3.3</f>
        <v>113.9</v>
      </c>
      <c r="AL9" s="24">
        <v>5.9</v>
      </c>
      <c r="AM9" s="24">
        <v>18</v>
      </c>
      <c r="AN9" s="24">
        <f>112.5+1.3</f>
        <v>113.8</v>
      </c>
      <c r="AO9" s="24">
        <v>6.4</v>
      </c>
      <c r="AP9" s="24">
        <v>8</v>
      </c>
      <c r="AQ9" s="24">
        <v>72.8</v>
      </c>
      <c r="AR9" s="24">
        <v>2.4</v>
      </c>
      <c r="AS9" s="24">
        <v>18</v>
      </c>
      <c r="AT9" s="24">
        <v>73.8</v>
      </c>
      <c r="AU9" s="24">
        <v>4.6</v>
      </c>
      <c r="AV9" s="24">
        <v>8</v>
      </c>
      <c r="AW9" s="26"/>
      <c r="AX9" s="26"/>
      <c r="AY9" s="26"/>
      <c r="AZ9" s="26"/>
      <c r="BA9" s="26"/>
      <c r="BB9" s="26"/>
      <c r="BC9" s="26">
        <f>(1.77-0.5)*28.82</f>
        <v>36.6014</v>
      </c>
      <c r="BD9" s="30">
        <v>6.9221</v>
      </c>
      <c r="BE9" s="26">
        <v>18</v>
      </c>
      <c r="BF9" s="26">
        <v>56</v>
      </c>
      <c r="BG9" s="30">
        <v>8.3642</v>
      </c>
      <c r="BH9" s="26">
        <v>8</v>
      </c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6"/>
      <c r="BV9" s="26"/>
      <c r="BW9" s="26"/>
      <c r="BX9" s="26"/>
      <c r="BY9" s="26"/>
      <c r="BZ9" s="26"/>
      <c r="CA9" s="12"/>
      <c r="CB9" s="12"/>
      <c r="CC9" s="12"/>
      <c r="CD9" s="24"/>
      <c r="CE9" s="24"/>
      <c r="CF9" s="24"/>
      <c r="CG9" s="25">
        <v>83.78</v>
      </c>
      <c r="CH9" s="25">
        <v>11.3515</v>
      </c>
      <c r="CI9" s="26">
        <v>18</v>
      </c>
      <c r="CJ9" s="27">
        <v>86.3072</v>
      </c>
      <c r="CK9" s="26">
        <v>9.1893</v>
      </c>
      <c r="CL9" s="26">
        <v>8</v>
      </c>
      <c r="CM9" s="25">
        <v>5.16</v>
      </c>
      <c r="CN9" s="25">
        <v>2.61</v>
      </c>
      <c r="CO9" s="24">
        <v>18</v>
      </c>
      <c r="CP9" s="24">
        <v>7.75</v>
      </c>
      <c r="CQ9" s="24">
        <v>0.76</v>
      </c>
      <c r="CR9" s="24">
        <v>8</v>
      </c>
      <c r="CS9" s="24"/>
      <c r="CT9" s="24"/>
      <c r="CU9" s="24"/>
      <c r="CV9" s="24"/>
      <c r="CW9" s="24"/>
      <c r="CX9" s="24"/>
      <c r="CY9" s="24">
        <v>1.06</v>
      </c>
      <c r="CZ9" s="24">
        <v>0.62</v>
      </c>
      <c r="DA9" s="24">
        <v>18</v>
      </c>
      <c r="DB9" s="24">
        <v>1.66</v>
      </c>
      <c r="DC9" s="24">
        <v>0.16</v>
      </c>
      <c r="DD9" s="24">
        <v>8</v>
      </c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4"/>
      <c r="DV9" s="24"/>
      <c r="DW9" s="24"/>
      <c r="DX9" s="24"/>
      <c r="DY9" s="24"/>
      <c r="DZ9" s="24"/>
      <c r="EA9" s="24"/>
      <c r="EB9" s="24"/>
      <c r="EC9" s="24"/>
      <c r="ED9" s="24"/>
      <c r="EE9" s="24"/>
      <c r="EF9" s="24"/>
      <c r="EG9" s="24"/>
      <c r="EH9" s="24"/>
      <c r="EI9" s="24"/>
      <c r="EJ9" s="24"/>
      <c r="EK9" s="24"/>
      <c r="EL9" s="24"/>
      <c r="EM9" s="24"/>
      <c r="EN9" s="24"/>
      <c r="EO9" s="24"/>
      <c r="EP9" s="24"/>
      <c r="EQ9" s="24"/>
      <c r="ER9" s="24"/>
      <c r="ES9" s="24"/>
      <c r="ET9" s="24"/>
      <c r="EU9" s="27">
        <v>315.8992</v>
      </c>
      <c r="EV9" s="24">
        <v>61.8624</v>
      </c>
      <c r="EW9" s="24">
        <v>18</v>
      </c>
      <c r="EX9" s="27">
        <v>418.7168</v>
      </c>
      <c r="EY9" s="24">
        <v>11.1696</v>
      </c>
      <c r="EZ9" s="24">
        <v>8</v>
      </c>
      <c r="FA9" s="24"/>
      <c r="FB9" s="24"/>
      <c r="FC9" s="24"/>
      <c r="FD9" s="24"/>
      <c r="FE9" s="24"/>
      <c r="FF9" s="24"/>
      <c r="FG9" s="24"/>
      <c r="FH9" s="24"/>
      <c r="FI9" s="24"/>
      <c r="FJ9" s="24"/>
      <c r="FK9" s="24"/>
      <c r="FL9" s="24"/>
      <c r="FM9" s="24"/>
      <c r="FN9" s="24"/>
      <c r="FO9" s="24"/>
      <c r="FP9" s="24"/>
      <c r="FQ9" s="24"/>
      <c r="FR9" s="24"/>
      <c r="FS9" s="24"/>
      <c r="FT9" s="24"/>
      <c r="FU9" s="24"/>
      <c r="FV9" s="24"/>
      <c r="FW9" s="24"/>
      <c r="FX9" s="24"/>
      <c r="FY9" s="24"/>
      <c r="FZ9" s="24"/>
      <c r="GA9" s="24"/>
      <c r="GB9" s="24"/>
      <c r="GC9" s="24"/>
      <c r="GD9" s="24"/>
      <c r="GE9" s="24"/>
      <c r="GF9" s="24"/>
      <c r="GG9" s="24"/>
      <c r="GH9" s="24"/>
      <c r="GI9" s="24"/>
      <c r="GJ9" s="24"/>
      <c r="GK9" s="24"/>
      <c r="GL9" s="24"/>
      <c r="GM9" s="24"/>
      <c r="GN9" s="24"/>
      <c r="GO9" s="24"/>
      <c r="GP9" s="24"/>
      <c r="GQ9" s="24"/>
      <c r="GR9" s="24"/>
      <c r="GS9" s="24"/>
      <c r="GT9" s="24"/>
      <c r="GU9" s="24"/>
      <c r="GV9" s="24"/>
      <c r="GW9" s="24"/>
      <c r="GX9" s="24"/>
      <c r="GY9" s="24"/>
      <c r="GZ9" s="24"/>
      <c r="HA9" s="24"/>
      <c r="HB9" s="24"/>
      <c r="HC9" s="24"/>
      <c r="HD9" s="24"/>
      <c r="HE9" s="24"/>
      <c r="HF9" s="24"/>
      <c r="HG9" s="24"/>
      <c r="HH9" s="24"/>
      <c r="HI9" s="24">
        <v>398.64</v>
      </c>
      <c r="HJ9" s="24">
        <v>65.52</v>
      </c>
      <c r="HK9" s="24">
        <v>18</v>
      </c>
      <c r="HL9" s="24">
        <v>717.18</v>
      </c>
      <c r="HM9" s="24">
        <v>28.64</v>
      </c>
      <c r="HN9" s="24">
        <v>8</v>
      </c>
      <c r="HO9" s="24">
        <v>5.321</v>
      </c>
      <c r="HP9" s="24">
        <v>3.69</v>
      </c>
      <c r="HQ9" s="24">
        <v>18</v>
      </c>
      <c r="HR9" s="24">
        <v>7.846</v>
      </c>
      <c r="HS9" s="24">
        <v>2.362</v>
      </c>
      <c r="HT9" s="24">
        <v>8</v>
      </c>
      <c r="HU9" s="24"/>
      <c r="HV9" s="24"/>
      <c r="HW9" s="24"/>
      <c r="HX9" s="24"/>
      <c r="HY9" s="24"/>
      <c r="HZ9" s="24"/>
      <c r="IA9" s="24"/>
      <c r="IB9" s="24"/>
      <c r="IC9" s="24"/>
      <c r="ID9" s="24"/>
      <c r="IE9" s="24"/>
      <c r="IF9" s="24"/>
      <c r="IG9" s="24"/>
      <c r="IH9" s="24"/>
      <c r="II9" s="24"/>
      <c r="IJ9" s="24"/>
      <c r="IK9" s="24"/>
      <c r="IL9" s="24"/>
      <c r="IM9" s="24"/>
      <c r="IN9" s="24"/>
      <c r="IO9" s="24"/>
      <c r="IP9" s="24"/>
      <c r="IQ9" s="24"/>
      <c r="IR9" s="24"/>
      <c r="IS9" s="24"/>
      <c r="IT9" s="24"/>
      <c r="IU9" s="24"/>
      <c r="IV9" s="24"/>
      <c r="IW9" s="24"/>
      <c r="IX9" s="24"/>
      <c r="IY9" s="24"/>
      <c r="IZ9" s="24"/>
      <c r="JA9" s="24"/>
      <c r="JB9" s="24"/>
      <c r="JC9" s="24"/>
      <c r="JD9" s="24"/>
      <c r="JE9" s="24"/>
      <c r="JF9" s="24"/>
      <c r="JG9" s="24"/>
      <c r="JH9" s="24"/>
      <c r="JI9" s="24"/>
      <c r="JJ9" s="24"/>
      <c r="JK9" s="24"/>
      <c r="JL9" s="24"/>
      <c r="JM9" s="24"/>
      <c r="JN9" s="24"/>
      <c r="JO9" s="24"/>
      <c r="JP9" s="24"/>
      <c r="JQ9" s="24"/>
      <c r="JR9" s="24"/>
      <c r="JS9" s="24"/>
      <c r="JT9" s="24"/>
      <c r="JU9" s="24"/>
      <c r="JV9" s="24"/>
      <c r="JW9" s="24"/>
      <c r="JX9" s="24"/>
      <c r="JY9" s="24"/>
      <c r="JZ9" s="24"/>
      <c r="KA9" s="24"/>
      <c r="KB9" s="24"/>
      <c r="KC9" s="24"/>
    </row>
    <row r="10" ht="192.75" customHeight="1" spans="2:289">
      <c r="B10" s="14">
        <v>7</v>
      </c>
      <c r="C10" s="17" t="s">
        <v>132</v>
      </c>
      <c r="D10" s="12" t="s">
        <v>97</v>
      </c>
      <c r="E10" s="12" t="s">
        <v>133</v>
      </c>
      <c r="F10" s="12" t="s">
        <v>78</v>
      </c>
      <c r="G10" s="12" t="s">
        <v>78</v>
      </c>
      <c r="H10" s="12" t="s">
        <v>134</v>
      </c>
      <c r="I10" s="12" t="s">
        <v>135</v>
      </c>
      <c r="J10" s="12" t="s">
        <v>136</v>
      </c>
      <c r="K10" s="12" t="s">
        <v>137</v>
      </c>
      <c r="L10" s="12" t="s">
        <v>138</v>
      </c>
      <c r="M10" s="12" t="s">
        <v>139</v>
      </c>
      <c r="N10" s="22" t="s">
        <v>140</v>
      </c>
      <c r="O10" s="12" t="s">
        <v>135</v>
      </c>
      <c r="P10" s="12" t="s">
        <v>141</v>
      </c>
      <c r="Q10" s="12">
        <v>30</v>
      </c>
      <c r="R10" s="12">
        <v>30</v>
      </c>
      <c r="S10" s="25"/>
      <c r="T10" s="25"/>
      <c r="U10" s="25"/>
      <c r="V10" s="25"/>
      <c r="W10" s="25"/>
      <c r="X10" s="25"/>
      <c r="Y10" s="25">
        <v>26.7</v>
      </c>
      <c r="Z10" s="25">
        <v>7.5</v>
      </c>
      <c r="AA10" s="25">
        <v>30</v>
      </c>
      <c r="AB10" s="25">
        <v>26.3</v>
      </c>
      <c r="AC10" s="25">
        <v>6.8</v>
      </c>
      <c r="AD10" s="25">
        <v>30</v>
      </c>
      <c r="AE10" s="25"/>
      <c r="AF10" s="25"/>
      <c r="AG10" s="25"/>
      <c r="AH10" s="25"/>
      <c r="AI10" s="25"/>
      <c r="AJ10" s="25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5"/>
      <c r="AX10" s="25"/>
      <c r="AY10" s="25"/>
      <c r="AZ10" s="25"/>
      <c r="BA10" s="25"/>
      <c r="BB10" s="25"/>
      <c r="BC10" s="26"/>
      <c r="BD10" s="26"/>
      <c r="BE10" s="26"/>
      <c r="BF10" s="26"/>
      <c r="BG10" s="26"/>
      <c r="BH10" s="26"/>
      <c r="BI10" s="25"/>
      <c r="BJ10" s="25"/>
      <c r="BK10" s="25"/>
      <c r="BL10" s="25"/>
      <c r="BM10" s="25"/>
      <c r="BN10" s="25"/>
      <c r="BO10" s="24"/>
      <c r="BP10" s="24"/>
      <c r="BQ10" s="24"/>
      <c r="BR10" s="24"/>
      <c r="BS10" s="24"/>
      <c r="BT10" s="24"/>
      <c r="BU10" s="26"/>
      <c r="BV10" s="26"/>
      <c r="BW10" s="26"/>
      <c r="BX10" s="26"/>
      <c r="BY10" s="26"/>
      <c r="BZ10" s="26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4"/>
      <c r="EJ10" s="24"/>
      <c r="EK10" s="24"/>
      <c r="EL10" s="24"/>
      <c r="EM10" s="24"/>
      <c r="EN10" s="24"/>
      <c r="EO10" s="25">
        <v>17.8</v>
      </c>
      <c r="EP10" s="25">
        <v>1.9</v>
      </c>
      <c r="EQ10" s="25">
        <v>30</v>
      </c>
      <c r="ER10" s="25">
        <v>19.1</v>
      </c>
      <c r="ES10" s="25">
        <v>2.1</v>
      </c>
      <c r="ET10" s="25">
        <v>30</v>
      </c>
      <c r="EU10" s="25"/>
      <c r="EV10" s="25"/>
      <c r="EW10" s="25"/>
      <c r="EX10" s="25"/>
      <c r="EY10" s="25"/>
      <c r="EZ10" s="25"/>
      <c r="FA10" s="24"/>
      <c r="FB10" s="24"/>
      <c r="FC10" s="24"/>
      <c r="FD10" s="24"/>
      <c r="FE10" s="24"/>
      <c r="FF10" s="24"/>
      <c r="FG10" s="25"/>
      <c r="FH10" s="25"/>
      <c r="FI10" s="26"/>
      <c r="FJ10" s="25"/>
      <c r="FK10" s="25"/>
      <c r="FL10" s="25"/>
      <c r="FM10" s="25"/>
      <c r="FN10" s="25"/>
      <c r="FO10" s="25"/>
      <c r="FP10" s="25"/>
      <c r="FQ10" s="25"/>
      <c r="FR10" s="25"/>
      <c r="FS10" s="25"/>
      <c r="FT10" s="25"/>
      <c r="FU10" s="25"/>
      <c r="FV10" s="25"/>
      <c r="FW10" s="25"/>
      <c r="FX10" s="25"/>
      <c r="FY10" s="25"/>
      <c r="FZ10" s="25"/>
      <c r="GA10" s="25"/>
      <c r="GB10" s="25"/>
      <c r="GC10" s="25"/>
      <c r="GD10" s="25"/>
      <c r="GE10" s="24"/>
      <c r="GF10" s="24"/>
      <c r="GG10" s="24"/>
      <c r="GH10" s="24"/>
      <c r="GI10" s="24"/>
      <c r="GJ10" s="24"/>
      <c r="GK10" s="25"/>
      <c r="GL10" s="25"/>
      <c r="GM10" s="25"/>
      <c r="GN10" s="25"/>
      <c r="GO10" s="25"/>
      <c r="GP10" s="25"/>
      <c r="GQ10" s="24"/>
      <c r="GR10" s="24"/>
      <c r="GS10" s="24"/>
      <c r="GT10" s="24"/>
      <c r="GU10" s="24"/>
      <c r="GV10" s="24"/>
      <c r="GW10" s="24"/>
      <c r="GX10" s="24"/>
      <c r="GY10" s="24"/>
      <c r="GZ10" s="24"/>
      <c r="HA10" s="24"/>
      <c r="HB10" s="24"/>
      <c r="HC10" s="24">
        <v>79</v>
      </c>
      <c r="HD10" s="24">
        <v>74</v>
      </c>
      <c r="HE10" s="24"/>
      <c r="HF10" s="24"/>
      <c r="HG10" s="24"/>
      <c r="HH10" s="24"/>
      <c r="HI10" s="24"/>
      <c r="HJ10" s="24"/>
      <c r="HK10" s="24"/>
      <c r="HL10" s="24"/>
      <c r="HM10" s="24"/>
      <c r="HN10" s="24"/>
      <c r="HO10" s="24"/>
      <c r="HP10" s="24"/>
      <c r="HQ10" s="24"/>
      <c r="HR10" s="24"/>
      <c r="HS10" s="24"/>
      <c r="HT10" s="24"/>
      <c r="HU10" s="24"/>
      <c r="HV10" s="24"/>
      <c r="HW10" s="24"/>
      <c r="HX10" s="24"/>
      <c r="HY10" s="24"/>
      <c r="HZ10" s="24"/>
      <c r="IA10" s="24"/>
      <c r="IB10" s="24"/>
      <c r="IC10" s="24"/>
      <c r="ID10" s="24"/>
      <c r="IE10" s="24"/>
      <c r="IF10" s="24"/>
      <c r="IG10" s="24"/>
      <c r="IH10" s="24"/>
      <c r="II10" s="24"/>
      <c r="IJ10" s="24"/>
      <c r="IK10" s="24"/>
      <c r="IL10" s="24"/>
      <c r="IM10" s="24"/>
      <c r="IN10" s="24"/>
      <c r="IO10" s="24"/>
      <c r="IP10" s="24"/>
      <c r="IQ10" s="24"/>
      <c r="IR10" s="24"/>
      <c r="IS10" s="24"/>
      <c r="IT10" s="24"/>
      <c r="IU10" s="24"/>
      <c r="IV10" s="24"/>
      <c r="IW10" s="24"/>
      <c r="IX10" s="24"/>
      <c r="IY10" s="24"/>
      <c r="IZ10" s="24"/>
      <c r="JA10" s="24"/>
      <c r="JB10" s="24"/>
      <c r="JC10" s="24"/>
      <c r="JD10" s="24"/>
      <c r="JE10" s="24"/>
      <c r="JF10" s="24"/>
      <c r="JG10" s="24"/>
      <c r="JH10" s="24"/>
      <c r="JI10" s="24"/>
      <c r="JJ10" s="24"/>
      <c r="JK10" s="24"/>
      <c r="JL10" s="24"/>
      <c r="JM10" s="24"/>
      <c r="JN10" s="24"/>
      <c r="JO10" s="24"/>
      <c r="JP10" s="24"/>
      <c r="JQ10" s="24"/>
      <c r="JR10" s="24"/>
      <c r="JS10" s="24"/>
      <c r="JT10" s="24"/>
      <c r="JU10" s="24"/>
      <c r="JV10" s="24"/>
      <c r="JW10" s="24"/>
      <c r="JX10" s="24"/>
      <c r="JY10" s="24"/>
      <c r="JZ10" s="24"/>
      <c r="KA10" s="24"/>
      <c r="KB10" s="24"/>
      <c r="KC10" s="24"/>
    </row>
    <row r="11" ht="300" spans="2:289">
      <c r="B11" s="14">
        <v>8</v>
      </c>
      <c r="C11" s="15" t="s">
        <v>142</v>
      </c>
      <c r="D11" s="12" t="s">
        <v>143</v>
      </c>
      <c r="E11" s="12" t="s">
        <v>144</v>
      </c>
      <c r="F11" s="12" t="s">
        <v>78</v>
      </c>
      <c r="G11" s="12" t="s">
        <v>78</v>
      </c>
      <c r="H11" s="12" t="s">
        <v>145</v>
      </c>
      <c r="I11" s="12" t="s">
        <v>146</v>
      </c>
      <c r="J11" s="12" t="s">
        <v>90</v>
      </c>
      <c r="K11" s="12" t="s">
        <v>147</v>
      </c>
      <c r="L11" s="12" t="s">
        <v>148</v>
      </c>
      <c r="M11" s="12" t="s">
        <v>149</v>
      </c>
      <c r="N11" s="22" t="s">
        <v>150</v>
      </c>
      <c r="O11" s="12" t="s">
        <v>135</v>
      </c>
      <c r="P11" s="12" t="s">
        <v>151</v>
      </c>
      <c r="Q11" s="12">
        <v>24</v>
      </c>
      <c r="R11" s="12">
        <v>22</v>
      </c>
      <c r="S11" s="25"/>
      <c r="T11" s="25"/>
      <c r="U11" s="25"/>
      <c r="V11" s="25"/>
      <c r="W11" s="25"/>
      <c r="X11" s="25"/>
      <c r="Y11" s="25">
        <v>27.3</v>
      </c>
      <c r="Z11" s="25">
        <v>4.5</v>
      </c>
      <c r="AA11" s="25">
        <v>24</v>
      </c>
      <c r="AB11" s="25">
        <v>28.4</v>
      </c>
      <c r="AC11" s="25">
        <v>5.2</v>
      </c>
      <c r="AD11" s="25">
        <v>22</v>
      </c>
      <c r="AE11" s="25"/>
      <c r="AF11" s="25"/>
      <c r="AG11" s="25"/>
      <c r="AH11" s="25"/>
      <c r="AI11" s="25"/>
      <c r="AJ11" s="25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5"/>
      <c r="AX11" s="25"/>
      <c r="AY11" s="25"/>
      <c r="AZ11" s="25"/>
      <c r="BA11" s="25"/>
      <c r="BB11" s="25"/>
      <c r="BC11" s="26"/>
      <c r="BD11" s="26"/>
      <c r="BE11" s="26"/>
      <c r="BF11" s="26"/>
      <c r="BG11" s="26"/>
      <c r="BH11" s="26"/>
      <c r="BI11" s="25"/>
      <c r="BJ11" s="25"/>
      <c r="BK11" s="25"/>
      <c r="BL11" s="25"/>
      <c r="BM11" s="25"/>
      <c r="BN11" s="25"/>
      <c r="BO11" s="24">
        <v>80</v>
      </c>
      <c r="BP11" s="24">
        <v>20</v>
      </c>
      <c r="BQ11" s="24">
        <v>24</v>
      </c>
      <c r="BR11" s="24">
        <v>70</v>
      </c>
      <c r="BS11" s="24">
        <v>30</v>
      </c>
      <c r="BT11" s="24">
        <v>22</v>
      </c>
      <c r="BU11" s="26"/>
      <c r="BV11" s="26"/>
      <c r="BW11" s="26"/>
      <c r="BX11" s="26"/>
      <c r="BY11" s="26"/>
      <c r="BZ11" s="26"/>
      <c r="CA11" s="25">
        <v>2.3</v>
      </c>
      <c r="CB11" s="25">
        <v>1.2</v>
      </c>
      <c r="CC11" s="25">
        <v>24</v>
      </c>
      <c r="CD11" s="25">
        <v>2.5</v>
      </c>
      <c r="CE11" s="25">
        <v>1.1</v>
      </c>
      <c r="CF11" s="25">
        <v>22</v>
      </c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4">
        <v>2.1</v>
      </c>
      <c r="CZ11" s="24">
        <v>0.5</v>
      </c>
      <c r="DA11" s="24">
        <v>24</v>
      </c>
      <c r="DB11" s="24">
        <v>2.4</v>
      </c>
      <c r="DC11" s="24">
        <v>0.3</v>
      </c>
      <c r="DD11" s="24">
        <v>22</v>
      </c>
      <c r="DE11" s="24"/>
      <c r="DF11" s="24"/>
      <c r="DG11" s="24"/>
      <c r="DH11" s="24"/>
      <c r="DI11" s="24"/>
      <c r="DJ11" s="24"/>
      <c r="DK11" s="25">
        <v>9</v>
      </c>
      <c r="DL11" s="25">
        <v>6.8</v>
      </c>
      <c r="DM11" s="25">
        <v>24</v>
      </c>
      <c r="DN11" s="25">
        <v>9.1</v>
      </c>
      <c r="DO11" s="25">
        <v>7.8</v>
      </c>
      <c r="DP11" s="25">
        <v>22</v>
      </c>
      <c r="DQ11" s="25">
        <v>4.4</v>
      </c>
      <c r="DR11" s="25">
        <v>1.2</v>
      </c>
      <c r="DS11" s="25">
        <v>24</v>
      </c>
      <c r="DT11" s="25">
        <v>4.7</v>
      </c>
      <c r="DU11" s="25">
        <v>1.6</v>
      </c>
      <c r="DV11" s="25">
        <v>22</v>
      </c>
      <c r="DW11" s="25"/>
      <c r="DX11" s="25"/>
      <c r="DY11" s="25"/>
      <c r="DZ11" s="25"/>
      <c r="EA11" s="25"/>
      <c r="EB11" s="25"/>
      <c r="EC11" s="25">
        <v>85.6</v>
      </c>
      <c r="ED11" s="25">
        <v>56.3</v>
      </c>
      <c r="EE11" s="25">
        <v>24</v>
      </c>
      <c r="EF11" s="25">
        <v>86.6</v>
      </c>
      <c r="EG11" s="25">
        <v>44</v>
      </c>
      <c r="EH11" s="25">
        <v>22</v>
      </c>
      <c r="EI11" s="24"/>
      <c r="EJ11" s="24"/>
      <c r="EK11" s="24"/>
      <c r="EL11" s="24"/>
      <c r="EM11" s="24"/>
      <c r="EN11" s="24"/>
      <c r="EO11" s="25">
        <v>16.4</v>
      </c>
      <c r="EP11" s="25">
        <v>8.5</v>
      </c>
      <c r="EQ11" s="25">
        <v>24</v>
      </c>
      <c r="ER11" s="25">
        <v>16.3</v>
      </c>
      <c r="ES11" s="25">
        <v>8.3</v>
      </c>
      <c r="ET11" s="25">
        <v>22</v>
      </c>
      <c r="EU11" s="25">
        <v>280</v>
      </c>
      <c r="EV11" s="25">
        <v>150</v>
      </c>
      <c r="EW11" s="25">
        <v>24</v>
      </c>
      <c r="EX11" s="25">
        <v>300</v>
      </c>
      <c r="EY11" s="25">
        <v>120</v>
      </c>
      <c r="EZ11" s="25">
        <v>22</v>
      </c>
      <c r="FA11" s="24"/>
      <c r="FB11" s="24"/>
      <c r="FC11" s="24"/>
      <c r="FD11" s="24"/>
      <c r="FE11" s="24"/>
      <c r="FF11" s="24"/>
      <c r="FG11" s="25"/>
      <c r="FH11" s="25"/>
      <c r="FI11" s="25"/>
      <c r="FJ11" s="25"/>
      <c r="FK11" s="25"/>
      <c r="FL11" s="25"/>
      <c r="FM11" s="25"/>
      <c r="FN11" s="25"/>
      <c r="FO11" s="25"/>
      <c r="FP11" s="25"/>
      <c r="FQ11" s="25"/>
      <c r="FR11" s="25"/>
      <c r="FS11" s="25"/>
      <c r="FT11" s="25"/>
      <c r="FU11" s="25"/>
      <c r="FV11" s="25"/>
      <c r="FW11" s="25"/>
      <c r="FX11" s="25"/>
      <c r="FY11" s="25"/>
      <c r="FZ11" s="25"/>
      <c r="GA11" s="25"/>
      <c r="GB11" s="25"/>
      <c r="GC11" s="25"/>
      <c r="GD11" s="24"/>
      <c r="GE11" s="24"/>
      <c r="GF11" s="24"/>
      <c r="GG11" s="24"/>
      <c r="GH11" s="24"/>
      <c r="GI11" s="24"/>
      <c r="GJ11" s="24"/>
      <c r="GK11" s="25"/>
      <c r="GL11" s="25"/>
      <c r="GM11" s="25"/>
      <c r="GN11" s="25"/>
      <c r="GO11" s="25"/>
      <c r="GP11" s="25"/>
      <c r="GQ11" s="24"/>
      <c r="GR11" s="24"/>
      <c r="GS11" s="24"/>
      <c r="GT11" s="24"/>
      <c r="GU11" s="24"/>
      <c r="GV11" s="24"/>
      <c r="GW11" s="24"/>
      <c r="GX11" s="24"/>
      <c r="GY11" s="24"/>
      <c r="GZ11" s="24"/>
      <c r="HA11" s="24"/>
      <c r="HB11" s="24"/>
      <c r="HC11" s="24"/>
      <c r="HD11" s="24"/>
      <c r="HE11" s="24"/>
      <c r="HF11" s="24"/>
      <c r="HG11" s="24"/>
      <c r="HH11" s="24"/>
      <c r="HI11" s="24"/>
      <c r="HJ11" s="24"/>
      <c r="HK11" s="24"/>
      <c r="HL11" s="24"/>
      <c r="HM11" s="24"/>
      <c r="HN11" s="24"/>
      <c r="HO11" s="37">
        <v>66.05</v>
      </c>
      <c r="HP11" s="37">
        <v>26.83</v>
      </c>
      <c r="HQ11" s="37">
        <v>24</v>
      </c>
      <c r="HR11" s="37">
        <v>60.38</v>
      </c>
      <c r="HS11" s="37">
        <v>19.75</v>
      </c>
      <c r="HT11" s="37">
        <v>22</v>
      </c>
      <c r="HU11" s="24"/>
      <c r="HV11" s="24"/>
      <c r="HW11" s="24"/>
      <c r="HX11" s="24"/>
      <c r="HY11" s="24"/>
      <c r="HZ11" s="24"/>
      <c r="IA11" s="24">
        <v>0.9</v>
      </c>
      <c r="IB11" s="24">
        <v>0.3</v>
      </c>
      <c r="IC11" s="24">
        <v>24</v>
      </c>
      <c r="ID11" s="24">
        <v>1.1</v>
      </c>
      <c r="IE11" s="24">
        <v>0.7</v>
      </c>
      <c r="IF11" s="24">
        <v>22</v>
      </c>
      <c r="IG11" s="24"/>
      <c r="IH11" s="24"/>
      <c r="II11" s="24"/>
      <c r="IJ11" s="24"/>
      <c r="IK11" s="24"/>
      <c r="IL11" s="24"/>
      <c r="IM11" s="24"/>
      <c r="IN11" s="24"/>
      <c r="IO11" s="24"/>
      <c r="IP11" s="24"/>
      <c r="IQ11" s="24"/>
      <c r="IR11" s="24"/>
      <c r="IS11" s="24">
        <v>125.5</v>
      </c>
      <c r="IT11" s="24">
        <v>56.5</v>
      </c>
      <c r="IU11" s="24">
        <v>24</v>
      </c>
      <c r="IV11" s="24">
        <v>122.5</v>
      </c>
      <c r="IW11" s="24">
        <v>51.8</v>
      </c>
      <c r="IX11" s="24">
        <v>22</v>
      </c>
      <c r="IY11" s="24">
        <v>5.9</v>
      </c>
      <c r="IZ11" s="24">
        <v>1.9</v>
      </c>
      <c r="JA11" s="24">
        <v>24</v>
      </c>
      <c r="JB11" s="24">
        <v>4.9</v>
      </c>
      <c r="JC11" s="24">
        <v>0.9</v>
      </c>
      <c r="JD11" s="24">
        <v>22</v>
      </c>
      <c r="JE11" s="24"/>
      <c r="JF11" s="24"/>
      <c r="JG11" s="24"/>
      <c r="JH11" s="24"/>
      <c r="JI11" s="24"/>
      <c r="JJ11" s="24"/>
      <c r="JK11" s="24"/>
      <c r="JL11" s="24"/>
      <c r="JM11" s="24"/>
      <c r="JN11" s="24"/>
      <c r="JO11" s="24"/>
      <c r="JP11" s="24"/>
      <c r="JQ11" s="24"/>
      <c r="JR11" s="24"/>
      <c r="JS11" s="24"/>
      <c r="JT11" s="24"/>
      <c r="JU11" s="24"/>
      <c r="JV11" s="24"/>
      <c r="JW11" s="24"/>
      <c r="JX11" s="24"/>
      <c r="JY11" s="24"/>
      <c r="JZ11" s="24"/>
      <c r="KA11" s="24"/>
      <c r="KB11" s="24"/>
      <c r="KC11" s="24"/>
    </row>
    <row r="12" ht="180" spans="2:289">
      <c r="B12" s="12">
        <v>9</v>
      </c>
      <c r="C12" s="12" t="s">
        <v>152</v>
      </c>
      <c r="D12" s="12" t="s">
        <v>143</v>
      </c>
      <c r="E12" s="12" t="s">
        <v>153</v>
      </c>
      <c r="F12" s="12" t="s">
        <v>78</v>
      </c>
      <c r="G12" s="12" t="s">
        <v>78</v>
      </c>
      <c r="H12" s="12" t="s">
        <v>154</v>
      </c>
      <c r="I12" s="12" t="s">
        <v>155</v>
      </c>
      <c r="J12" s="12" t="s">
        <v>90</v>
      </c>
      <c r="K12" s="12" t="s">
        <v>156</v>
      </c>
      <c r="L12" s="12" t="s">
        <v>157</v>
      </c>
      <c r="M12" s="12" t="s">
        <v>158</v>
      </c>
      <c r="N12" s="12" t="s">
        <v>140</v>
      </c>
      <c r="O12" s="12" t="s">
        <v>159</v>
      </c>
      <c r="P12" s="12" t="s">
        <v>160</v>
      </c>
      <c r="Q12" s="12">
        <v>30</v>
      </c>
      <c r="R12" s="12">
        <v>30</v>
      </c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>
        <v>48.7</v>
      </c>
      <c r="AX12" s="24">
        <v>29.2</v>
      </c>
      <c r="AY12" s="24">
        <v>30</v>
      </c>
      <c r="AZ12" s="24">
        <v>43.3</v>
      </c>
      <c r="BA12" s="24">
        <v>14.4</v>
      </c>
      <c r="BB12" s="24">
        <v>30</v>
      </c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>
        <v>190.3572</v>
      </c>
      <c r="BP12" s="24">
        <v>129.789</v>
      </c>
      <c r="BQ12" s="24">
        <v>30</v>
      </c>
      <c r="BR12" s="24">
        <v>230.736</v>
      </c>
      <c r="BS12" s="24">
        <v>23.0736</v>
      </c>
      <c r="BT12" s="24">
        <v>30</v>
      </c>
      <c r="BU12" s="24">
        <v>6.4</v>
      </c>
      <c r="BV12" s="24">
        <v>6.7</v>
      </c>
      <c r="BW12" s="24">
        <v>30</v>
      </c>
      <c r="BX12" s="24">
        <v>5.7</v>
      </c>
      <c r="BY12" s="24">
        <v>2.3</v>
      </c>
      <c r="BZ12" s="24">
        <v>30</v>
      </c>
      <c r="CA12" s="24">
        <v>1.6949</v>
      </c>
      <c r="CB12" s="24">
        <v>1.1054</v>
      </c>
      <c r="CC12" s="24">
        <v>30</v>
      </c>
      <c r="CD12" s="24">
        <v>2.2845</v>
      </c>
      <c r="CE12" s="24">
        <v>0.9948</v>
      </c>
      <c r="CF12" s="24">
        <v>30</v>
      </c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4"/>
      <c r="EY12" s="24"/>
      <c r="EZ12" s="24"/>
      <c r="FA12" s="24"/>
      <c r="FB12" s="24"/>
      <c r="FC12" s="24"/>
      <c r="FD12" s="24"/>
      <c r="FE12" s="24"/>
      <c r="FF12" s="24"/>
      <c r="FG12" s="24"/>
      <c r="FH12" s="24"/>
      <c r="FI12" s="24"/>
      <c r="FJ12" s="24"/>
      <c r="FK12" s="24"/>
      <c r="FL12" s="24"/>
      <c r="FM12" s="24"/>
      <c r="FN12" s="24"/>
      <c r="FO12" s="24"/>
      <c r="FP12" s="24"/>
      <c r="FQ12" s="24"/>
      <c r="FR12" s="24"/>
      <c r="FS12" s="24"/>
      <c r="FT12" s="24"/>
      <c r="FU12" s="24"/>
      <c r="FV12" s="24"/>
      <c r="FW12" s="24"/>
      <c r="FX12" s="24"/>
      <c r="FY12" s="24"/>
      <c r="FZ12" s="24"/>
      <c r="GA12" s="24"/>
      <c r="GB12" s="24"/>
      <c r="GC12" s="24"/>
      <c r="GD12" s="24"/>
      <c r="GE12" s="24"/>
      <c r="GF12" s="24"/>
      <c r="GG12" s="24"/>
      <c r="GH12" s="24"/>
      <c r="GI12" s="24"/>
      <c r="GJ12" s="24"/>
      <c r="GK12" s="24">
        <v>14.8</v>
      </c>
      <c r="GL12" s="24">
        <v>4.5</v>
      </c>
      <c r="GM12" s="24">
        <v>30</v>
      </c>
      <c r="GN12" s="24">
        <v>13.9</v>
      </c>
      <c r="GO12" s="24">
        <v>3.7</v>
      </c>
      <c r="GP12" s="24">
        <v>30</v>
      </c>
      <c r="GQ12" s="24"/>
      <c r="GR12" s="24"/>
      <c r="GS12" s="24"/>
      <c r="GT12" s="24"/>
      <c r="GU12" s="24"/>
      <c r="GV12" s="24"/>
      <c r="GW12" s="24"/>
      <c r="GX12" s="24"/>
      <c r="GY12" s="24"/>
      <c r="GZ12" s="24"/>
      <c r="HA12" s="24"/>
      <c r="HB12" s="24"/>
      <c r="HC12" s="24"/>
      <c r="HD12" s="24"/>
      <c r="HE12" s="24"/>
      <c r="HF12" s="24"/>
      <c r="HG12" s="24"/>
      <c r="HH12" s="24"/>
      <c r="HI12" s="24"/>
      <c r="HJ12" s="24"/>
      <c r="HK12" s="24"/>
      <c r="HL12" s="24"/>
      <c r="HM12" s="24"/>
      <c r="HN12" s="24"/>
      <c r="HO12" s="24"/>
      <c r="HP12" s="24"/>
      <c r="HQ12" s="24"/>
      <c r="HR12" s="24"/>
      <c r="HS12" s="24"/>
      <c r="HT12" s="24"/>
      <c r="HU12" s="24"/>
      <c r="HV12" s="24"/>
      <c r="HW12" s="24"/>
      <c r="HX12" s="24"/>
      <c r="HY12" s="24"/>
      <c r="HZ12" s="24"/>
      <c r="IA12" s="24"/>
      <c r="IB12" s="24"/>
      <c r="IC12" s="24"/>
      <c r="ID12" s="24"/>
      <c r="IE12" s="24"/>
      <c r="IF12" s="24"/>
      <c r="IG12" s="24"/>
      <c r="IH12" s="24"/>
      <c r="II12" s="24"/>
      <c r="IJ12" s="24"/>
      <c r="IK12" s="24"/>
      <c r="IL12" s="24"/>
      <c r="IM12" s="24"/>
      <c r="IN12" s="24"/>
      <c r="IO12" s="24"/>
      <c r="IP12" s="24"/>
      <c r="IQ12" s="24"/>
      <c r="IR12" s="24"/>
      <c r="IS12" s="24"/>
      <c r="IT12" s="24"/>
      <c r="IU12" s="24"/>
      <c r="IV12" s="24"/>
      <c r="IW12" s="24"/>
      <c r="IX12" s="24"/>
      <c r="IY12" s="24"/>
      <c r="IZ12" s="24"/>
      <c r="JA12" s="24"/>
      <c r="JB12" s="24"/>
      <c r="JC12" s="24"/>
      <c r="JD12" s="24"/>
      <c r="JE12" s="24">
        <v>3.1</v>
      </c>
      <c r="JF12" s="24">
        <v>2.4</v>
      </c>
      <c r="JG12" s="24">
        <v>30</v>
      </c>
      <c r="JH12" s="24">
        <v>5.3</v>
      </c>
      <c r="JI12" s="24">
        <v>3</v>
      </c>
      <c r="JJ12" s="24">
        <v>30</v>
      </c>
      <c r="JK12" s="24">
        <v>43.1</v>
      </c>
      <c r="JL12" s="24">
        <v>8.3</v>
      </c>
      <c r="JM12" s="24">
        <v>30</v>
      </c>
      <c r="JN12" s="24">
        <v>45.6</v>
      </c>
      <c r="JO12" s="24">
        <v>8.1</v>
      </c>
      <c r="JP12" s="24">
        <v>30</v>
      </c>
      <c r="JQ12" s="24"/>
      <c r="JR12" s="24"/>
      <c r="JS12" s="24"/>
      <c r="JT12" s="24"/>
      <c r="JU12" s="24"/>
      <c r="JV12" s="24"/>
      <c r="JW12" s="24"/>
      <c r="JX12" s="24"/>
      <c r="JY12" s="24"/>
      <c r="JZ12" s="24"/>
      <c r="KA12" s="24"/>
      <c r="KB12" s="24"/>
      <c r="KC12" s="24"/>
    </row>
    <row r="13" ht="127.5" customHeight="1" spans="2:289">
      <c r="B13" s="14">
        <v>10</v>
      </c>
      <c r="C13" s="15" t="s">
        <v>161</v>
      </c>
      <c r="D13" s="12" t="s">
        <v>143</v>
      </c>
      <c r="E13" s="12" t="s">
        <v>77</v>
      </c>
      <c r="F13" s="12" t="s">
        <v>162</v>
      </c>
      <c r="G13" s="12" t="s">
        <v>162</v>
      </c>
      <c r="H13" s="12" t="s">
        <v>163</v>
      </c>
      <c r="I13" s="12" t="s">
        <v>164</v>
      </c>
      <c r="J13" s="12" t="s">
        <v>90</v>
      </c>
      <c r="K13" s="12" t="s">
        <v>165</v>
      </c>
      <c r="L13" s="12" t="s">
        <v>166</v>
      </c>
      <c r="M13" s="12" t="s">
        <v>167</v>
      </c>
      <c r="N13" s="12" t="s">
        <v>168</v>
      </c>
      <c r="O13" s="12" t="s">
        <v>169</v>
      </c>
      <c r="P13" s="12" t="s">
        <v>170</v>
      </c>
      <c r="Q13" s="12">
        <v>60</v>
      </c>
      <c r="R13" s="12">
        <v>60</v>
      </c>
      <c r="S13" s="24"/>
      <c r="T13" s="24"/>
      <c r="U13" s="24"/>
      <c r="V13" s="24"/>
      <c r="W13" s="24"/>
      <c r="X13" s="24"/>
      <c r="Y13" s="12">
        <v>25</v>
      </c>
      <c r="Z13" s="12">
        <v>2.1</v>
      </c>
      <c r="AA13" s="12">
        <v>60</v>
      </c>
      <c r="AB13" s="12">
        <v>24.9</v>
      </c>
      <c r="AC13" s="12">
        <v>2.7</v>
      </c>
      <c r="AD13" s="12">
        <v>60</v>
      </c>
      <c r="AE13" s="12">
        <v>0.88</v>
      </c>
      <c r="AF13" s="12">
        <v>0.3</v>
      </c>
      <c r="AG13" s="12">
        <v>60</v>
      </c>
      <c r="AH13" s="12">
        <v>0.9</v>
      </c>
      <c r="AI13" s="12">
        <v>0.4</v>
      </c>
      <c r="AJ13" s="12">
        <v>60</v>
      </c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12">
        <v>27.2</v>
      </c>
      <c r="AX13" s="12">
        <v>5.6</v>
      </c>
      <c r="AY13" s="12">
        <v>60</v>
      </c>
      <c r="AZ13" s="12">
        <v>27</v>
      </c>
      <c r="BA13" s="12">
        <v>6.4</v>
      </c>
      <c r="BB13" s="12">
        <v>60</v>
      </c>
      <c r="BC13" s="12"/>
      <c r="BD13" s="12"/>
      <c r="BE13" s="12"/>
      <c r="BF13" s="24"/>
      <c r="BG13" s="24"/>
      <c r="BH13" s="24"/>
      <c r="BI13" s="24"/>
      <c r="BJ13" s="24"/>
      <c r="BK13" s="24"/>
      <c r="BL13" s="24"/>
      <c r="BM13" s="24"/>
      <c r="BN13" s="24"/>
      <c r="BO13" s="24">
        <v>110</v>
      </c>
      <c r="BP13" s="24">
        <v>70</v>
      </c>
      <c r="BQ13" s="24">
        <v>60</v>
      </c>
      <c r="BR13" s="24">
        <v>90</v>
      </c>
      <c r="BS13" s="24">
        <v>50</v>
      </c>
      <c r="BT13" s="24">
        <v>60</v>
      </c>
      <c r="BU13" s="24"/>
      <c r="BV13" s="24"/>
      <c r="BW13" s="24"/>
      <c r="BX13" s="24"/>
      <c r="BY13" s="24"/>
      <c r="BZ13" s="24"/>
      <c r="CA13" s="12">
        <v>2.456</v>
      </c>
      <c r="CB13" s="12">
        <v>0.48</v>
      </c>
      <c r="CC13" s="12">
        <v>60</v>
      </c>
      <c r="CD13" s="12">
        <v>2.721</v>
      </c>
      <c r="CE13" s="12">
        <v>0.435</v>
      </c>
      <c r="CF13" s="12">
        <v>60</v>
      </c>
      <c r="CG13" s="12">
        <v>80.1</v>
      </c>
      <c r="CH13" s="12">
        <v>8.9</v>
      </c>
      <c r="CI13" s="12">
        <v>60</v>
      </c>
      <c r="CJ13" s="12">
        <v>77.5</v>
      </c>
      <c r="CK13" s="12">
        <v>10.5</v>
      </c>
      <c r="CL13" s="12">
        <v>60</v>
      </c>
      <c r="CM13" s="12">
        <v>21.2</v>
      </c>
      <c r="CN13" s="12">
        <v>4.8</v>
      </c>
      <c r="CO13" s="12">
        <v>60</v>
      </c>
      <c r="CP13" s="12">
        <v>20.3</v>
      </c>
      <c r="CQ13" s="12">
        <v>4.5</v>
      </c>
      <c r="CR13" s="12">
        <v>60</v>
      </c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>
        <v>9.6</v>
      </c>
      <c r="DL13" s="24">
        <v>2.5</v>
      </c>
      <c r="DM13" s="24">
        <v>60</v>
      </c>
      <c r="DN13" s="24">
        <v>9.1</v>
      </c>
      <c r="DO13" s="24">
        <v>2.1</v>
      </c>
      <c r="DP13" s="24">
        <v>60</v>
      </c>
      <c r="DQ13" s="24">
        <v>7.2</v>
      </c>
      <c r="DR13" s="24">
        <v>2</v>
      </c>
      <c r="DS13" s="24">
        <v>60</v>
      </c>
      <c r="DT13" s="24">
        <v>7.5</v>
      </c>
      <c r="DU13" s="24">
        <v>1.8</v>
      </c>
      <c r="DV13" s="24">
        <v>60</v>
      </c>
      <c r="DW13" s="24"/>
      <c r="DX13" s="24"/>
      <c r="DY13" s="24"/>
      <c r="DZ13" s="24"/>
      <c r="EA13" s="24"/>
      <c r="EB13" s="24"/>
      <c r="EC13" s="24">
        <v>34.5</v>
      </c>
      <c r="ED13" s="24">
        <v>8.2</v>
      </c>
      <c r="EE13" s="24">
        <v>60</v>
      </c>
      <c r="EF13" s="24">
        <v>38</v>
      </c>
      <c r="EG13" s="24">
        <v>9.5</v>
      </c>
      <c r="EH13" s="24">
        <v>60</v>
      </c>
      <c r="EI13" s="24">
        <v>0.5</v>
      </c>
      <c r="EJ13" s="24">
        <v>0.3</v>
      </c>
      <c r="EK13" s="24">
        <v>60</v>
      </c>
      <c r="EL13" s="24">
        <v>0.8</v>
      </c>
      <c r="EM13" s="24">
        <v>0.6</v>
      </c>
      <c r="EN13" s="24">
        <v>60</v>
      </c>
      <c r="EO13" s="24">
        <v>9.2</v>
      </c>
      <c r="EP13" s="24">
        <v>2.3</v>
      </c>
      <c r="EQ13" s="24">
        <v>60</v>
      </c>
      <c r="ER13" s="24">
        <v>8.7</v>
      </c>
      <c r="ES13" s="24">
        <v>2.5</v>
      </c>
      <c r="ET13" s="24">
        <v>60</v>
      </c>
      <c r="EU13" s="24"/>
      <c r="EV13" s="24"/>
      <c r="EW13" s="24"/>
      <c r="EX13" s="24"/>
      <c r="EY13" s="24"/>
      <c r="EZ13" s="24"/>
      <c r="FA13" s="24"/>
      <c r="FB13" s="24"/>
      <c r="FC13" s="24"/>
      <c r="FD13" s="24"/>
      <c r="FE13" s="24"/>
      <c r="FF13" s="24"/>
      <c r="FG13" s="24"/>
      <c r="FH13" s="24"/>
      <c r="FI13" s="25"/>
      <c r="FJ13" s="24"/>
      <c r="FK13" s="24"/>
      <c r="FL13" s="24"/>
      <c r="FM13" s="24"/>
      <c r="FN13" s="24"/>
      <c r="FO13" s="24"/>
      <c r="FP13" s="24"/>
      <c r="FQ13" s="24"/>
      <c r="FR13" s="24"/>
      <c r="FS13" s="24"/>
      <c r="FT13" s="24"/>
      <c r="FU13" s="24"/>
      <c r="FV13" s="24"/>
      <c r="FW13" s="24"/>
      <c r="FX13" s="24"/>
      <c r="FY13" s="24"/>
      <c r="FZ13" s="24"/>
      <c r="GA13" s="24"/>
      <c r="GB13" s="24"/>
      <c r="GC13" s="24"/>
      <c r="GD13" s="24"/>
      <c r="GE13" s="24"/>
      <c r="GF13" s="24"/>
      <c r="GG13" s="24"/>
      <c r="GH13" s="24"/>
      <c r="GI13" s="24"/>
      <c r="GJ13" s="24"/>
      <c r="GK13" s="24"/>
      <c r="GL13" s="24"/>
      <c r="GM13" s="24"/>
      <c r="GN13" s="24"/>
      <c r="GO13" s="24"/>
      <c r="GP13" s="24"/>
      <c r="GQ13" s="24"/>
      <c r="GR13" s="24"/>
      <c r="GS13" s="24"/>
      <c r="GT13" s="24"/>
      <c r="GU13" s="24"/>
      <c r="GV13" s="24"/>
      <c r="GW13" s="24"/>
      <c r="GX13" s="24"/>
      <c r="GY13" s="24"/>
      <c r="GZ13" s="24"/>
      <c r="HA13" s="24"/>
      <c r="HB13" s="24"/>
      <c r="HC13" s="24"/>
      <c r="HD13" s="24"/>
      <c r="HE13" s="24"/>
      <c r="HF13" s="24"/>
      <c r="HG13" s="24"/>
      <c r="HH13" s="24"/>
      <c r="HI13" s="24"/>
      <c r="HJ13" s="24"/>
      <c r="HK13" s="24"/>
      <c r="HL13" s="24"/>
      <c r="HM13" s="24"/>
      <c r="HN13" s="24"/>
      <c r="HO13" s="24"/>
      <c r="HP13" s="24"/>
      <c r="HQ13" s="24"/>
      <c r="HR13" s="24"/>
      <c r="HS13" s="24"/>
      <c r="HT13" s="24"/>
      <c r="HU13" s="24"/>
      <c r="HV13" s="24"/>
      <c r="HW13" s="24"/>
      <c r="HX13" s="24"/>
      <c r="HY13" s="24"/>
      <c r="HZ13" s="24"/>
      <c r="IA13" s="24">
        <v>2</v>
      </c>
      <c r="IB13" s="24">
        <v>0.7</v>
      </c>
      <c r="IC13" s="24">
        <v>60</v>
      </c>
      <c r="ID13" s="24">
        <v>1.8</v>
      </c>
      <c r="IE13" s="24">
        <v>0.35</v>
      </c>
      <c r="IF13" s="24">
        <v>60</v>
      </c>
      <c r="IG13" s="24"/>
      <c r="IH13" s="24"/>
      <c r="II13" s="24"/>
      <c r="IJ13" s="24"/>
      <c r="IK13" s="24"/>
      <c r="IL13" s="24"/>
      <c r="IM13" s="24"/>
      <c r="IN13" s="24"/>
      <c r="IO13" s="24"/>
      <c r="IP13" s="24"/>
      <c r="IQ13" s="24"/>
      <c r="IR13" s="24"/>
      <c r="IS13" s="24"/>
      <c r="IT13" s="24"/>
      <c r="IU13" s="24"/>
      <c r="IV13" s="24"/>
      <c r="IW13" s="24"/>
      <c r="IX13" s="24"/>
      <c r="IY13" s="24"/>
      <c r="IZ13" s="24"/>
      <c r="JA13" s="24"/>
      <c r="JB13" s="24"/>
      <c r="JC13" s="24"/>
      <c r="JD13" s="24"/>
      <c r="JE13" s="24"/>
      <c r="JF13" s="24"/>
      <c r="JG13" s="24"/>
      <c r="JH13" s="24"/>
      <c r="JI13" s="24"/>
      <c r="JJ13" s="24"/>
      <c r="JK13" s="24"/>
      <c r="JL13" s="24"/>
      <c r="JM13" s="24"/>
      <c r="JN13" s="24"/>
      <c r="JO13" s="24"/>
      <c r="JP13" s="24"/>
      <c r="JQ13" s="24"/>
      <c r="JR13" s="24"/>
      <c r="JS13" s="24"/>
      <c r="JT13" s="24"/>
      <c r="JU13" s="24"/>
      <c r="JV13" s="24"/>
      <c r="JW13" s="24"/>
      <c r="JX13" s="24"/>
      <c r="JY13" s="24"/>
      <c r="JZ13" s="24"/>
      <c r="KA13" s="24"/>
      <c r="KB13" s="24"/>
      <c r="KC13" s="24"/>
    </row>
    <row r="14" ht="240" spans="2:289">
      <c r="B14" s="12">
        <v>11</v>
      </c>
      <c r="C14" s="12" t="s">
        <v>171</v>
      </c>
      <c r="D14" s="12" t="s">
        <v>143</v>
      </c>
      <c r="E14" s="12" t="s">
        <v>153</v>
      </c>
      <c r="F14" s="12" t="s">
        <v>78</v>
      </c>
      <c r="G14" s="12" t="s">
        <v>78</v>
      </c>
      <c r="H14" s="12" t="s">
        <v>172</v>
      </c>
      <c r="I14" s="12" t="s">
        <v>173</v>
      </c>
      <c r="J14" s="12" t="s">
        <v>90</v>
      </c>
      <c r="K14" s="12" t="s">
        <v>174</v>
      </c>
      <c r="L14" s="12" t="s">
        <v>175</v>
      </c>
      <c r="M14" s="12" t="s">
        <v>176</v>
      </c>
      <c r="N14" s="12" t="s">
        <v>109</v>
      </c>
      <c r="O14" s="12" t="s">
        <v>177</v>
      </c>
      <c r="P14" s="12" t="s">
        <v>178</v>
      </c>
      <c r="Q14" s="12">
        <v>50</v>
      </c>
      <c r="R14" s="12">
        <v>50</v>
      </c>
      <c r="S14" s="24"/>
      <c r="T14" s="24"/>
      <c r="U14" s="24"/>
      <c r="V14" s="24"/>
      <c r="W14" s="24"/>
      <c r="X14" s="24"/>
      <c r="Y14" s="24">
        <v>23.97</v>
      </c>
      <c r="Z14" s="24">
        <v>3.02</v>
      </c>
      <c r="AA14" s="24">
        <v>50</v>
      </c>
      <c r="AB14" s="24">
        <v>23.22</v>
      </c>
      <c r="AC14" s="24">
        <v>3.51</v>
      </c>
      <c r="AD14" s="24">
        <v>50</v>
      </c>
      <c r="AE14" s="24">
        <v>0.8</v>
      </c>
      <c r="AF14" s="24">
        <v>0.07</v>
      </c>
      <c r="AG14" s="24">
        <v>50</v>
      </c>
      <c r="AH14" s="24">
        <v>0.76</v>
      </c>
      <c r="AI14" s="24">
        <v>0.06</v>
      </c>
      <c r="AJ14" s="24">
        <v>50</v>
      </c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>
        <v>1680.9118</v>
      </c>
      <c r="BD14" s="24">
        <v>789.1171</v>
      </c>
      <c r="BE14" s="24">
        <v>50</v>
      </c>
      <c r="BF14" s="24">
        <v>1506.7061</v>
      </c>
      <c r="BG14" s="24">
        <v>714.4163</v>
      </c>
      <c r="BH14" s="24">
        <v>50</v>
      </c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>
        <v>98.16</v>
      </c>
      <c r="CH14" s="24">
        <v>18.12</v>
      </c>
      <c r="CI14" s="24">
        <v>50</v>
      </c>
      <c r="CJ14" s="24">
        <v>92.34</v>
      </c>
      <c r="CK14" s="24">
        <v>12.17</v>
      </c>
      <c r="CL14" s="24">
        <v>50</v>
      </c>
      <c r="CM14" s="24">
        <v>17.03</v>
      </c>
      <c r="CN14" s="24">
        <v>15.41</v>
      </c>
      <c r="CO14" s="24">
        <v>50</v>
      </c>
      <c r="CP14" s="24">
        <v>14.58</v>
      </c>
      <c r="CQ14" s="24">
        <v>9.8</v>
      </c>
      <c r="CR14" s="24">
        <v>50</v>
      </c>
      <c r="CS14" s="24"/>
      <c r="CT14" s="24"/>
      <c r="CU14" s="24"/>
      <c r="CV14" s="24"/>
      <c r="CW14" s="24"/>
      <c r="CX14" s="24"/>
      <c r="CY14" s="24">
        <v>4.32</v>
      </c>
      <c r="CZ14" s="24">
        <v>4.61</v>
      </c>
      <c r="DA14" s="24">
        <v>50</v>
      </c>
      <c r="DB14" s="24">
        <v>3.39</v>
      </c>
      <c r="DC14" s="24">
        <v>2.28</v>
      </c>
      <c r="DD14" s="24">
        <v>50</v>
      </c>
      <c r="DE14" s="24"/>
      <c r="DF14" s="24"/>
      <c r="DG14" s="24"/>
      <c r="DH14" s="24"/>
      <c r="DI14" s="24"/>
      <c r="DJ14" s="24"/>
      <c r="DK14" s="24">
        <v>10</v>
      </c>
      <c r="DL14" s="24">
        <v>6.25</v>
      </c>
      <c r="DM14" s="24">
        <v>50</v>
      </c>
      <c r="DN14" s="24">
        <v>8.3</v>
      </c>
      <c r="DO14" s="24">
        <v>6.65</v>
      </c>
      <c r="DP14" s="24">
        <v>50</v>
      </c>
      <c r="DQ14" s="24"/>
      <c r="DR14" s="24"/>
      <c r="DS14" s="24"/>
      <c r="DT14" s="24"/>
      <c r="DU14" s="24"/>
      <c r="DV14" s="24"/>
      <c r="DW14" s="24">
        <v>1.94</v>
      </c>
      <c r="DX14" s="24">
        <v>0.79</v>
      </c>
      <c r="DY14" s="24">
        <v>50</v>
      </c>
      <c r="DZ14" s="24">
        <v>1.61</v>
      </c>
      <c r="EA14" s="24">
        <v>0.84</v>
      </c>
      <c r="EB14" s="24">
        <v>50</v>
      </c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/>
      <c r="EW14" s="24"/>
      <c r="EX14" s="24"/>
      <c r="EY14" s="24"/>
      <c r="EZ14" s="24"/>
      <c r="FA14" s="24"/>
      <c r="FB14" s="24"/>
      <c r="FC14" s="24"/>
      <c r="FD14" s="24"/>
      <c r="FE14" s="24"/>
      <c r="FF14" s="24"/>
      <c r="FG14" s="24"/>
      <c r="FH14" s="24"/>
      <c r="FI14" s="24"/>
      <c r="FJ14" s="24"/>
      <c r="FK14" s="24"/>
      <c r="FL14" s="24"/>
      <c r="FM14" s="24"/>
      <c r="FN14" s="24"/>
      <c r="FO14" s="24"/>
      <c r="FP14" s="24"/>
      <c r="FQ14" s="24"/>
      <c r="FR14" s="24"/>
      <c r="FS14" s="24"/>
      <c r="FT14" s="24"/>
      <c r="FU14" s="24"/>
      <c r="FV14" s="24"/>
      <c r="FW14" s="24"/>
      <c r="FX14" s="24"/>
      <c r="FY14" s="24"/>
      <c r="FZ14" s="24"/>
      <c r="GA14" s="24"/>
      <c r="GB14" s="24"/>
      <c r="GC14" s="24"/>
      <c r="GD14" s="24"/>
      <c r="GE14" s="24"/>
      <c r="GF14" s="24"/>
      <c r="GG14" s="24"/>
      <c r="GH14" s="24"/>
      <c r="GI14" s="24"/>
      <c r="GJ14" s="24"/>
      <c r="GK14" s="24"/>
      <c r="GL14" s="24"/>
      <c r="GM14" s="24"/>
      <c r="GN14" s="24"/>
      <c r="GO14" s="24"/>
      <c r="GP14" s="24"/>
      <c r="GQ14" s="24">
        <v>12.35</v>
      </c>
      <c r="GR14" s="24">
        <v>2.83</v>
      </c>
      <c r="GS14" s="24">
        <v>50</v>
      </c>
      <c r="GT14" s="24">
        <v>12.24</v>
      </c>
      <c r="GU14" s="24">
        <v>2.83</v>
      </c>
      <c r="GV14" s="24">
        <v>50</v>
      </c>
      <c r="GW14" s="24"/>
      <c r="GX14" s="24"/>
      <c r="GY14" s="24"/>
      <c r="GZ14" s="24"/>
      <c r="HA14" s="24"/>
      <c r="HB14" s="24"/>
      <c r="HC14" s="24"/>
      <c r="HD14" s="24"/>
      <c r="HE14" s="24"/>
      <c r="HF14" s="24"/>
      <c r="HG14" s="24"/>
      <c r="HH14" s="24"/>
      <c r="HI14" s="24"/>
      <c r="HJ14" s="24"/>
      <c r="HK14" s="24"/>
      <c r="HL14" s="24"/>
      <c r="HM14" s="24"/>
      <c r="HN14" s="24"/>
      <c r="HO14" s="24"/>
      <c r="HP14" s="24"/>
      <c r="HQ14" s="24"/>
      <c r="HR14" s="24"/>
      <c r="HS14" s="24"/>
      <c r="HT14" s="24"/>
      <c r="HU14" s="24"/>
      <c r="HV14" s="24"/>
      <c r="HW14" s="24"/>
      <c r="HX14" s="24"/>
      <c r="HY14" s="24"/>
      <c r="HZ14" s="24"/>
      <c r="IA14" s="24"/>
      <c r="IB14" s="24"/>
      <c r="IC14" s="24"/>
      <c r="ID14" s="24"/>
      <c r="IE14" s="24"/>
      <c r="IF14" s="24"/>
      <c r="IG14" s="24"/>
      <c r="IH14" s="24"/>
      <c r="II14" s="24"/>
      <c r="IJ14" s="24"/>
      <c r="IK14" s="24"/>
      <c r="IL14" s="24"/>
      <c r="IM14" s="24"/>
      <c r="IN14" s="24"/>
      <c r="IO14" s="24"/>
      <c r="IP14" s="24"/>
      <c r="IQ14" s="24"/>
      <c r="IR14" s="24"/>
      <c r="IS14" s="24"/>
      <c r="IT14" s="24"/>
      <c r="IU14" s="24"/>
      <c r="IV14" s="24"/>
      <c r="IW14" s="24"/>
      <c r="IX14" s="24"/>
      <c r="IY14" s="24"/>
      <c r="IZ14" s="24"/>
      <c r="JA14" s="24"/>
      <c r="JB14" s="24"/>
      <c r="JC14" s="24"/>
      <c r="JD14" s="24"/>
      <c r="JE14" s="24"/>
      <c r="JF14" s="24"/>
      <c r="JG14" s="24"/>
      <c r="JH14" s="24"/>
      <c r="JI14" s="24"/>
      <c r="JJ14" s="24"/>
      <c r="JK14" s="24"/>
      <c r="JL14" s="24"/>
      <c r="JM14" s="24"/>
      <c r="JN14" s="24"/>
      <c r="JO14" s="24"/>
      <c r="JP14" s="24"/>
      <c r="JQ14" s="24">
        <v>11.6</v>
      </c>
      <c r="JR14" s="24">
        <v>2.13</v>
      </c>
      <c r="JS14" s="24">
        <v>50</v>
      </c>
      <c r="JT14" s="24">
        <v>10.18</v>
      </c>
      <c r="JU14" s="24">
        <v>2.08</v>
      </c>
      <c r="JV14" s="24">
        <v>50</v>
      </c>
      <c r="JW14" s="24"/>
      <c r="JX14" s="24"/>
      <c r="JY14" s="24"/>
      <c r="JZ14" s="24"/>
      <c r="KA14" s="24"/>
      <c r="KB14" s="24"/>
      <c r="KC14" s="24"/>
    </row>
    <row r="15" ht="120" spans="2:289">
      <c r="B15" s="18">
        <v>12</v>
      </c>
      <c r="C15" s="12" t="s">
        <v>179</v>
      </c>
      <c r="D15" s="12" t="s">
        <v>143</v>
      </c>
      <c r="E15" s="12" t="s">
        <v>153</v>
      </c>
      <c r="F15" s="12" t="s">
        <v>162</v>
      </c>
      <c r="G15" s="12" t="s">
        <v>162</v>
      </c>
      <c r="H15" s="12" t="s">
        <v>180</v>
      </c>
      <c r="I15" s="12" t="s">
        <v>155</v>
      </c>
      <c r="J15" s="12" t="s">
        <v>181</v>
      </c>
      <c r="K15" s="12" t="s">
        <v>182</v>
      </c>
      <c r="L15" s="12" t="s">
        <v>183</v>
      </c>
      <c r="M15" s="12" t="s">
        <v>184</v>
      </c>
      <c r="N15" s="12" t="s">
        <v>140</v>
      </c>
      <c r="O15" s="12" t="s">
        <v>177</v>
      </c>
      <c r="P15" s="12" t="s">
        <v>185</v>
      </c>
      <c r="Q15" s="12">
        <v>30</v>
      </c>
      <c r="R15" s="12">
        <v>30</v>
      </c>
      <c r="S15" s="25"/>
      <c r="T15" s="25"/>
      <c r="U15" s="25"/>
      <c r="V15" s="25"/>
      <c r="W15" s="25"/>
      <c r="X15" s="25"/>
      <c r="Y15" s="24">
        <v>25.31</v>
      </c>
      <c r="Z15" s="24">
        <f>0.4*SQRT(30)</f>
        <v>2.19089023002066</v>
      </c>
      <c r="AA15" s="24">
        <v>30</v>
      </c>
      <c r="AB15" s="24">
        <v>24.96</v>
      </c>
      <c r="AC15" s="24">
        <v>3.72</v>
      </c>
      <c r="AD15" s="24">
        <v>30</v>
      </c>
      <c r="AE15" s="25">
        <v>0.78</v>
      </c>
      <c r="AF15" s="27">
        <v>0.038</v>
      </c>
      <c r="AG15" s="28">
        <v>30</v>
      </c>
      <c r="AH15" s="25">
        <v>0.79</v>
      </c>
      <c r="AI15" s="25">
        <v>0.06</v>
      </c>
      <c r="AJ15" s="25">
        <v>30</v>
      </c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  <c r="EQ15" s="24"/>
      <c r="ER15" s="24"/>
      <c r="ES15" s="24"/>
      <c r="ET15" s="24"/>
      <c r="EU15" s="24"/>
      <c r="EV15" s="24"/>
      <c r="EW15" s="24"/>
      <c r="EX15" s="24"/>
      <c r="EY15" s="24"/>
      <c r="EZ15" s="24"/>
      <c r="FA15" s="24"/>
      <c r="FB15" s="24"/>
      <c r="FC15" s="24"/>
      <c r="FD15" s="24"/>
      <c r="FE15" s="24"/>
      <c r="FF15" s="24"/>
      <c r="FG15" s="25"/>
      <c r="FH15" s="25"/>
      <c r="FI15" s="24"/>
      <c r="FJ15" s="25"/>
      <c r="FK15" s="25"/>
      <c r="FL15" s="25"/>
      <c r="FM15" s="25"/>
      <c r="FN15" s="25"/>
      <c r="FO15" s="25"/>
      <c r="FP15" s="25"/>
      <c r="FQ15" s="25"/>
      <c r="FR15" s="25"/>
      <c r="FS15" s="25"/>
      <c r="FT15" s="25"/>
      <c r="FU15" s="25"/>
      <c r="FV15" s="25"/>
      <c r="FW15" s="25"/>
      <c r="FX15" s="25"/>
      <c r="FY15" s="25"/>
      <c r="FZ15" s="25"/>
      <c r="GA15" s="25"/>
      <c r="GB15" s="25"/>
      <c r="GC15" s="25"/>
      <c r="GD15" s="25"/>
      <c r="GE15" s="24"/>
      <c r="GF15" s="24"/>
      <c r="GG15" s="24"/>
      <c r="GH15" s="24"/>
      <c r="GI15" s="24"/>
      <c r="GJ15" s="24"/>
      <c r="GK15" s="24"/>
      <c r="GL15" s="24"/>
      <c r="GM15" s="24"/>
      <c r="GN15" s="24"/>
      <c r="GO15" s="24"/>
      <c r="GP15" s="24"/>
      <c r="GQ15" s="24"/>
      <c r="GR15" s="24"/>
      <c r="GS15" s="24"/>
      <c r="GT15" s="24"/>
      <c r="GU15" s="24"/>
      <c r="GV15" s="24"/>
      <c r="GW15" s="24"/>
      <c r="GX15" s="24"/>
      <c r="GY15" s="24"/>
      <c r="GZ15" s="24"/>
      <c r="HA15" s="24"/>
      <c r="HB15" s="24"/>
      <c r="HC15" s="24"/>
      <c r="HD15" s="24"/>
      <c r="HE15" s="24"/>
      <c r="HF15" s="24"/>
      <c r="HG15" s="24"/>
      <c r="HH15" s="24"/>
      <c r="HI15" s="24"/>
      <c r="HJ15" s="24"/>
      <c r="HK15" s="24"/>
      <c r="HL15" s="24"/>
      <c r="HM15" s="24"/>
      <c r="HN15" s="24"/>
      <c r="HO15" s="24"/>
      <c r="HP15" s="24"/>
      <c r="HQ15" s="24"/>
      <c r="HR15" s="24"/>
      <c r="HS15" s="24"/>
      <c r="HT15" s="24"/>
      <c r="HU15" s="24"/>
      <c r="HV15" s="24"/>
      <c r="HW15" s="24"/>
      <c r="HX15" s="24"/>
      <c r="HY15" s="24"/>
      <c r="HZ15" s="24"/>
      <c r="IA15" s="24"/>
      <c r="IB15" s="24"/>
      <c r="IC15" s="24"/>
      <c r="ID15" s="24"/>
      <c r="IE15" s="24"/>
      <c r="IF15" s="24"/>
      <c r="IG15" s="24"/>
      <c r="IH15" s="24"/>
      <c r="II15" s="24"/>
      <c r="IJ15" s="24"/>
      <c r="IK15" s="24"/>
      <c r="IL15" s="24"/>
      <c r="IM15" s="24"/>
      <c r="IN15" s="24"/>
      <c r="IO15" s="24"/>
      <c r="IP15" s="24"/>
      <c r="IQ15" s="24"/>
      <c r="IR15" s="24"/>
      <c r="IS15" s="24"/>
      <c r="IT15" s="24"/>
      <c r="IU15" s="24"/>
      <c r="IV15" s="24"/>
      <c r="IW15" s="24"/>
      <c r="IX15" s="24"/>
      <c r="IY15" s="24"/>
      <c r="IZ15" s="24"/>
      <c r="JA15" s="24"/>
      <c r="JB15" s="24"/>
      <c r="JC15" s="24"/>
      <c r="JD15" s="24"/>
      <c r="JE15" s="24"/>
      <c r="JF15" s="24"/>
      <c r="JG15" s="24"/>
      <c r="JH15" s="24"/>
      <c r="JI15" s="24"/>
      <c r="JJ15" s="24"/>
      <c r="JK15" s="24"/>
      <c r="JL15" s="24"/>
      <c r="JM15" s="24"/>
      <c r="JN15" s="24"/>
      <c r="JO15" s="24"/>
      <c r="JP15" s="24"/>
      <c r="JQ15" s="24"/>
      <c r="JR15" s="24"/>
      <c r="JS15" s="24"/>
      <c r="JT15" s="24"/>
      <c r="JU15" s="24"/>
      <c r="JV15" s="24"/>
      <c r="JW15" s="24"/>
      <c r="JX15" s="24"/>
      <c r="JY15" s="24"/>
      <c r="JZ15" s="24"/>
      <c r="KA15" s="24"/>
      <c r="KB15" s="24"/>
      <c r="KC15" s="24"/>
    </row>
    <row r="16" ht="267.75" customHeight="1" spans="2:289">
      <c r="B16" s="14">
        <v>13</v>
      </c>
      <c r="C16" s="15" t="s">
        <v>186</v>
      </c>
      <c r="D16" s="12" t="s">
        <v>143</v>
      </c>
      <c r="E16" s="12" t="s">
        <v>77</v>
      </c>
      <c r="F16" s="12" t="s">
        <v>162</v>
      </c>
      <c r="G16" s="12" t="s">
        <v>162</v>
      </c>
      <c r="H16" s="12" t="s">
        <v>187</v>
      </c>
      <c r="I16" s="38" t="s">
        <v>177</v>
      </c>
      <c r="J16" s="12" t="s">
        <v>188</v>
      </c>
      <c r="K16" s="12" t="s">
        <v>189</v>
      </c>
      <c r="L16" s="12" t="s">
        <v>190</v>
      </c>
      <c r="M16" s="12" t="s">
        <v>191</v>
      </c>
      <c r="N16" s="12" t="s">
        <v>192</v>
      </c>
      <c r="O16" s="12" t="s">
        <v>177</v>
      </c>
      <c r="P16" s="12" t="s">
        <v>193</v>
      </c>
      <c r="Q16" s="12">
        <v>20</v>
      </c>
      <c r="R16" s="12">
        <v>20</v>
      </c>
      <c r="S16" s="25"/>
      <c r="T16" s="25"/>
      <c r="U16" s="25"/>
      <c r="V16" s="25"/>
      <c r="W16" s="25"/>
      <c r="X16" s="25"/>
      <c r="Y16" s="25">
        <v>27.1</v>
      </c>
      <c r="Z16" s="25">
        <v>1</v>
      </c>
      <c r="AA16" s="25">
        <v>20</v>
      </c>
      <c r="AB16" s="25">
        <v>24</v>
      </c>
      <c r="AC16" s="25">
        <v>0.6</v>
      </c>
      <c r="AD16" s="25">
        <v>20</v>
      </c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>
        <v>50</v>
      </c>
      <c r="AX16" s="25">
        <v>2.7</v>
      </c>
      <c r="AY16" s="25">
        <v>20</v>
      </c>
      <c r="AZ16" s="25">
        <v>85</v>
      </c>
      <c r="BA16" s="25">
        <v>5.6</v>
      </c>
      <c r="BB16" s="25">
        <v>20</v>
      </c>
      <c r="BC16" s="25"/>
      <c r="BD16" s="25"/>
      <c r="BE16" s="25"/>
      <c r="BF16" s="25"/>
      <c r="BG16" s="25"/>
      <c r="BH16" s="25"/>
      <c r="BI16" s="25">
        <v>0.11</v>
      </c>
      <c r="BJ16" s="25">
        <v>0.3</v>
      </c>
      <c r="BK16" s="25">
        <v>20</v>
      </c>
      <c r="BL16" s="25">
        <v>0.08</v>
      </c>
      <c r="BM16" s="25">
        <v>0.01</v>
      </c>
      <c r="BN16" s="25">
        <v>20</v>
      </c>
      <c r="BO16" s="25">
        <v>0.08</v>
      </c>
      <c r="BP16" s="24">
        <v>0.01</v>
      </c>
      <c r="BQ16" s="25">
        <v>20</v>
      </c>
      <c r="BR16" s="25">
        <v>0.06</v>
      </c>
      <c r="BS16" s="25">
        <v>0.01</v>
      </c>
      <c r="BT16" s="25">
        <v>20</v>
      </c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5">
        <v>95</v>
      </c>
      <c r="CH16" s="25">
        <v>2.1</v>
      </c>
      <c r="CI16" s="25">
        <v>20</v>
      </c>
      <c r="CJ16" s="25">
        <v>92.5</v>
      </c>
      <c r="CK16" s="25">
        <v>4.2</v>
      </c>
      <c r="CL16" s="25">
        <v>20</v>
      </c>
      <c r="CM16" s="25">
        <v>11</v>
      </c>
      <c r="CN16" s="25">
        <v>0.6</v>
      </c>
      <c r="CO16" s="25">
        <v>20</v>
      </c>
      <c r="CP16" s="25">
        <v>10.9</v>
      </c>
      <c r="CQ16" s="25">
        <v>0.6</v>
      </c>
      <c r="CR16" s="25">
        <v>20</v>
      </c>
      <c r="CS16" s="24"/>
      <c r="CT16" s="24"/>
      <c r="CU16" s="24"/>
      <c r="CV16" s="24"/>
      <c r="CW16" s="24"/>
      <c r="CX16" s="24"/>
      <c r="CY16" s="24">
        <v>2.7</v>
      </c>
      <c r="CZ16" s="24">
        <v>0.3</v>
      </c>
      <c r="DA16" s="24">
        <v>20</v>
      </c>
      <c r="DB16" s="24">
        <v>2.4</v>
      </c>
      <c r="DC16" s="24">
        <v>0.3</v>
      </c>
      <c r="DD16" s="24">
        <v>20</v>
      </c>
      <c r="DE16" s="24"/>
      <c r="DF16" s="24"/>
      <c r="DG16" s="24"/>
      <c r="DH16" s="24"/>
      <c r="DI16" s="24"/>
      <c r="DJ16" s="24"/>
      <c r="DK16" s="24">
        <v>8.6</v>
      </c>
      <c r="DL16" s="24">
        <v>0.4</v>
      </c>
      <c r="DM16" s="24">
        <v>20</v>
      </c>
      <c r="DN16" s="24">
        <v>7.9</v>
      </c>
      <c r="DO16" s="24">
        <v>0.7</v>
      </c>
      <c r="DP16" s="24">
        <v>20</v>
      </c>
      <c r="DQ16" s="24">
        <v>6.1</v>
      </c>
      <c r="DR16" s="24">
        <v>0.3</v>
      </c>
      <c r="DS16" s="24">
        <v>20</v>
      </c>
      <c r="DT16" s="24">
        <v>5.8</v>
      </c>
      <c r="DU16" s="24">
        <v>0.3</v>
      </c>
      <c r="DV16" s="24">
        <v>20</v>
      </c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>
        <v>170</v>
      </c>
      <c r="EV16" s="24">
        <v>10</v>
      </c>
      <c r="EW16" s="24">
        <v>20</v>
      </c>
      <c r="EX16" s="24">
        <v>180</v>
      </c>
      <c r="EY16" s="24">
        <v>20</v>
      </c>
      <c r="EZ16" s="24">
        <v>20</v>
      </c>
      <c r="FA16" s="24"/>
      <c r="FB16" s="24"/>
      <c r="FC16" s="24"/>
      <c r="FD16" s="24"/>
      <c r="FE16" s="24"/>
      <c r="FF16" s="24"/>
      <c r="FG16" s="25">
        <v>211.2</v>
      </c>
      <c r="FH16" s="25">
        <v>5.3</v>
      </c>
      <c r="FI16" s="25">
        <v>20</v>
      </c>
      <c r="FJ16" s="25">
        <v>206</v>
      </c>
      <c r="FK16" s="25">
        <v>3.8</v>
      </c>
      <c r="FL16" s="25">
        <v>20</v>
      </c>
      <c r="FM16" s="25">
        <v>137.4</v>
      </c>
      <c r="FN16" s="25">
        <v>15.1</v>
      </c>
      <c r="FO16" s="25">
        <v>20</v>
      </c>
      <c r="FP16" s="25">
        <v>144.5</v>
      </c>
      <c r="FQ16" s="25">
        <v>12</v>
      </c>
      <c r="FR16" s="25">
        <v>20</v>
      </c>
      <c r="FS16" s="25">
        <v>174.4</v>
      </c>
      <c r="FT16" s="25">
        <v>7.1</v>
      </c>
      <c r="FU16" s="25">
        <v>20</v>
      </c>
      <c r="FV16" s="25">
        <v>167.5</v>
      </c>
      <c r="FW16" s="25">
        <v>5.8</v>
      </c>
      <c r="FX16" s="25">
        <v>20</v>
      </c>
      <c r="FY16" s="25">
        <v>63.1</v>
      </c>
      <c r="FZ16" s="25">
        <v>4.1</v>
      </c>
      <c r="GA16" s="25">
        <v>20</v>
      </c>
      <c r="GB16" s="25">
        <v>70</v>
      </c>
      <c r="GC16" s="25">
        <v>6.4</v>
      </c>
      <c r="GD16" s="25">
        <v>20</v>
      </c>
      <c r="GE16" s="24"/>
      <c r="GF16" s="24"/>
      <c r="GG16" s="24"/>
      <c r="GH16" s="24"/>
      <c r="GI16" s="24"/>
      <c r="GJ16" s="24"/>
      <c r="GK16" s="24">
        <v>9</v>
      </c>
      <c r="GL16" s="24">
        <v>4</v>
      </c>
      <c r="GM16" s="24">
        <v>20</v>
      </c>
      <c r="GN16" s="24">
        <v>9</v>
      </c>
      <c r="GO16" s="24">
        <v>1</v>
      </c>
      <c r="GP16" s="24">
        <v>20</v>
      </c>
      <c r="GQ16" s="24"/>
      <c r="GR16" s="24"/>
      <c r="GS16" s="24"/>
      <c r="GT16" s="24"/>
      <c r="GU16" s="24"/>
      <c r="GV16" s="24"/>
      <c r="GW16" s="24"/>
      <c r="GX16" s="24"/>
      <c r="GY16" s="24"/>
      <c r="GZ16" s="24"/>
      <c r="HA16" s="24"/>
      <c r="HB16" s="24"/>
      <c r="HC16" s="24"/>
      <c r="HD16" s="24"/>
      <c r="HE16" s="24"/>
      <c r="HF16" s="24"/>
      <c r="HG16" s="24"/>
      <c r="HH16" s="24"/>
      <c r="HI16" s="24"/>
      <c r="HJ16" s="24"/>
      <c r="HK16" s="24"/>
      <c r="HL16" s="24"/>
      <c r="HM16" s="24"/>
      <c r="HN16" s="24"/>
      <c r="HO16" s="24"/>
      <c r="HP16" s="24"/>
      <c r="HQ16" s="24"/>
      <c r="HR16" s="24"/>
      <c r="HS16" s="24"/>
      <c r="HT16" s="24"/>
      <c r="HU16" s="24"/>
      <c r="HV16" s="24"/>
      <c r="HW16" s="24"/>
      <c r="HX16" s="24"/>
      <c r="HY16" s="24"/>
      <c r="HZ16" s="24"/>
      <c r="IA16" s="24"/>
      <c r="IB16" s="24"/>
      <c r="IC16" s="24"/>
      <c r="ID16" s="24"/>
      <c r="IE16" s="24"/>
      <c r="IF16" s="24"/>
      <c r="IG16" s="24"/>
      <c r="IH16" s="24"/>
      <c r="II16" s="24"/>
      <c r="IJ16" s="24"/>
      <c r="IK16" s="24"/>
      <c r="IL16" s="24"/>
      <c r="IM16" s="24"/>
      <c r="IN16" s="24"/>
      <c r="IO16" s="24"/>
      <c r="IP16" s="24"/>
      <c r="IQ16" s="24"/>
      <c r="IR16" s="24"/>
      <c r="IS16" s="24"/>
      <c r="IT16" s="24"/>
      <c r="IU16" s="24"/>
      <c r="IV16" s="24"/>
      <c r="IW16" s="24"/>
      <c r="IX16" s="24"/>
      <c r="IY16" s="24"/>
      <c r="IZ16" s="24"/>
      <c r="JA16" s="24"/>
      <c r="JB16" s="24"/>
      <c r="JC16" s="24"/>
      <c r="JD16" s="24"/>
      <c r="JE16" s="24"/>
      <c r="JF16" s="24"/>
      <c r="JG16" s="24"/>
      <c r="JH16" s="24"/>
      <c r="JI16" s="24"/>
      <c r="JJ16" s="24"/>
      <c r="JK16" s="24"/>
      <c r="JL16" s="24"/>
      <c r="JM16" s="24"/>
      <c r="JN16" s="24"/>
      <c r="JO16" s="24"/>
      <c r="JP16" s="24"/>
      <c r="JQ16" s="24"/>
      <c r="JR16" s="24"/>
      <c r="JS16" s="24"/>
      <c r="JT16" s="24"/>
      <c r="JU16" s="24"/>
      <c r="JV16" s="24"/>
      <c r="JW16" s="24"/>
      <c r="JX16" s="24"/>
      <c r="JY16" s="24"/>
      <c r="JZ16" s="24"/>
      <c r="KA16" s="24"/>
      <c r="KB16" s="24"/>
      <c r="KC16" s="24"/>
    </row>
    <row r="17" ht="325.5" customHeight="1" spans="2:289">
      <c r="B17" s="14">
        <v>14</v>
      </c>
      <c r="C17" s="15" t="s">
        <v>194</v>
      </c>
      <c r="D17" s="12" t="s">
        <v>195</v>
      </c>
      <c r="E17" s="12" t="s">
        <v>153</v>
      </c>
      <c r="F17" s="12" t="s">
        <v>78</v>
      </c>
      <c r="G17" s="12" t="s">
        <v>162</v>
      </c>
      <c r="H17" s="12" t="s">
        <v>196</v>
      </c>
      <c r="I17" s="12"/>
      <c r="J17" s="12" t="s">
        <v>90</v>
      </c>
      <c r="K17" s="12" t="s">
        <v>197</v>
      </c>
      <c r="L17" s="12" t="s">
        <v>198</v>
      </c>
      <c r="M17" s="12" t="s">
        <v>199</v>
      </c>
      <c r="N17" s="12" t="s">
        <v>200</v>
      </c>
      <c r="O17" s="12" t="s">
        <v>177</v>
      </c>
      <c r="P17" s="12" t="s">
        <v>201</v>
      </c>
      <c r="Q17" s="12">
        <v>34</v>
      </c>
      <c r="R17" s="12">
        <v>34</v>
      </c>
      <c r="S17" s="25"/>
      <c r="T17" s="25"/>
      <c r="U17" s="25"/>
      <c r="V17" s="25"/>
      <c r="W17" s="25"/>
      <c r="X17" s="25"/>
      <c r="Y17" s="25">
        <v>31</v>
      </c>
      <c r="Z17" s="25">
        <f>7.8/1.35</f>
        <v>5.77777777777778</v>
      </c>
      <c r="AA17" s="25">
        <v>34</v>
      </c>
      <c r="AB17" s="25">
        <v>32.5</v>
      </c>
      <c r="AC17" s="25">
        <f>7.9/1.35</f>
        <v>5.85185185185185</v>
      </c>
      <c r="AD17" s="25">
        <v>34</v>
      </c>
      <c r="AE17" s="25">
        <v>0.85</v>
      </c>
      <c r="AF17" s="25">
        <f>0.08/1.35</f>
        <v>0.0592592592592593</v>
      </c>
      <c r="AG17" s="25">
        <v>34</v>
      </c>
      <c r="AH17" s="25">
        <v>0.81</v>
      </c>
      <c r="AI17" s="25">
        <f>0.12/1.35</f>
        <v>0.0888888888888889</v>
      </c>
      <c r="AJ17" s="25">
        <v>34</v>
      </c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>
        <v>25.1</v>
      </c>
      <c r="AX17" s="25">
        <f>7.6/1.35</f>
        <v>5.62962962962963</v>
      </c>
      <c r="AY17" s="25">
        <v>32</v>
      </c>
      <c r="AZ17" s="25">
        <v>31.2</v>
      </c>
      <c r="BA17" s="25">
        <f>4/1.35</f>
        <v>2.96296296296296</v>
      </c>
      <c r="BB17" s="25">
        <v>32</v>
      </c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>
        <v>40.3788</v>
      </c>
      <c r="BP17" s="24">
        <f>20.1894/1.35</f>
        <v>14.9551111111111</v>
      </c>
      <c r="BQ17" s="25">
        <v>34</v>
      </c>
      <c r="BR17" s="25">
        <v>54.7998</v>
      </c>
      <c r="BS17" s="25">
        <f>23.0736/1.35</f>
        <v>17.0915555555556</v>
      </c>
      <c r="BT17" s="25">
        <v>34</v>
      </c>
      <c r="BU17" s="25">
        <v>5.3</v>
      </c>
      <c r="BV17" s="25">
        <v>3</v>
      </c>
      <c r="BW17" s="25">
        <v>34</v>
      </c>
      <c r="BX17" s="25">
        <v>5.2</v>
      </c>
      <c r="BY17" s="25">
        <v>1.5</v>
      </c>
      <c r="BZ17" s="25">
        <v>34</v>
      </c>
      <c r="CA17" s="24">
        <v>2.454</v>
      </c>
      <c r="CB17" s="24">
        <f>0.676/1.35</f>
        <v>0.500740740740741</v>
      </c>
      <c r="CC17" s="25">
        <v>34</v>
      </c>
      <c r="CD17" s="24">
        <v>2.5</v>
      </c>
      <c r="CE17" s="24">
        <f>0.97/1.35</f>
        <v>0.718518518518518</v>
      </c>
      <c r="CF17" s="24">
        <v>34</v>
      </c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>
        <v>7</v>
      </c>
      <c r="DL17" s="24">
        <f>2.85/1.35</f>
        <v>2.11111111111111</v>
      </c>
      <c r="DM17" s="24">
        <v>34</v>
      </c>
      <c r="DN17" s="24">
        <v>6.2</v>
      </c>
      <c r="DO17" s="24">
        <f>0.9/1.35</f>
        <v>0.666666666666667</v>
      </c>
      <c r="DP17" s="24">
        <v>34</v>
      </c>
      <c r="DQ17" s="24">
        <v>5.25</v>
      </c>
      <c r="DR17" s="24">
        <f>0.83/1.35</f>
        <v>0.614814814814815</v>
      </c>
      <c r="DS17" s="24">
        <v>34</v>
      </c>
      <c r="DT17" s="24">
        <v>5.5</v>
      </c>
      <c r="DU17" s="24">
        <f>0.9/1.35</f>
        <v>0.666666666666667</v>
      </c>
      <c r="DV17" s="24">
        <v>34</v>
      </c>
      <c r="DW17" s="24"/>
      <c r="DX17" s="24"/>
      <c r="DY17" s="24"/>
      <c r="DZ17" s="24"/>
      <c r="EA17" s="24"/>
      <c r="EB17" s="24"/>
      <c r="EC17" s="24">
        <v>49.51</v>
      </c>
      <c r="ED17" s="24">
        <f>26/1.35</f>
        <v>19.2592592592593</v>
      </c>
      <c r="EE17" s="24">
        <v>34</v>
      </c>
      <c r="EF17" s="24">
        <v>38.139</v>
      </c>
      <c r="EG17" s="24">
        <f>26/1.35</f>
        <v>19.2592592592593</v>
      </c>
      <c r="EH17" s="24">
        <v>34</v>
      </c>
      <c r="EI17" s="24"/>
      <c r="EJ17" s="24"/>
      <c r="EK17" s="24"/>
      <c r="EL17" s="24"/>
      <c r="EM17" s="24"/>
      <c r="EN17" s="24"/>
      <c r="EO17" s="24">
        <v>11.35</v>
      </c>
      <c r="EP17" s="24">
        <f>7.58/1.35</f>
        <v>5.61481481481481</v>
      </c>
      <c r="EQ17" s="24">
        <v>34</v>
      </c>
      <c r="ER17" s="24">
        <v>11.5</v>
      </c>
      <c r="ES17" s="24">
        <f>1.85/1.35</f>
        <v>1.37037037037037</v>
      </c>
      <c r="ET17" s="24">
        <v>34</v>
      </c>
      <c r="EU17" s="24">
        <v>236</v>
      </c>
      <c r="EV17" s="24">
        <f>109/1.35</f>
        <v>80.7407407407407</v>
      </c>
      <c r="EW17" s="24">
        <v>34</v>
      </c>
      <c r="EX17" s="24">
        <v>258</v>
      </c>
      <c r="EY17" s="24">
        <f>147/1.35</f>
        <v>108.888888888889</v>
      </c>
      <c r="EZ17" s="24">
        <v>34</v>
      </c>
      <c r="FA17" s="24"/>
      <c r="FB17" s="24"/>
      <c r="FC17" s="24"/>
      <c r="FD17" s="24"/>
      <c r="FE17" s="24"/>
      <c r="FF17" s="24"/>
      <c r="FG17" s="25"/>
      <c r="FH17" s="25"/>
      <c r="FI17" s="25"/>
      <c r="FJ17" s="25"/>
      <c r="FK17" s="25"/>
      <c r="FL17" s="25"/>
      <c r="FM17" s="25"/>
      <c r="FN17" s="25"/>
      <c r="FO17" s="25"/>
      <c r="FP17" s="25"/>
      <c r="FQ17" s="25"/>
      <c r="FR17" s="25"/>
      <c r="FS17" s="25"/>
      <c r="FT17" s="25"/>
      <c r="FU17" s="25"/>
      <c r="FV17" s="25"/>
      <c r="FW17" s="25"/>
      <c r="FX17" s="25"/>
      <c r="FY17" s="25"/>
      <c r="FZ17" s="25"/>
      <c r="GA17" s="25"/>
      <c r="GB17" s="25"/>
      <c r="GC17" s="25"/>
      <c r="GD17" s="25"/>
      <c r="GE17" s="24"/>
      <c r="GF17" s="24"/>
      <c r="GG17" s="24"/>
      <c r="GH17" s="24"/>
      <c r="GI17" s="24"/>
      <c r="GJ17" s="24"/>
      <c r="GK17" s="24">
        <v>11</v>
      </c>
      <c r="GL17" s="24">
        <f>5.75/1.35</f>
        <v>4.25925925925926</v>
      </c>
      <c r="GM17" s="24">
        <v>34</v>
      </c>
      <c r="GN17" s="24">
        <v>9.5</v>
      </c>
      <c r="GO17" s="24">
        <f>5/1.35</f>
        <v>3.7037037037037</v>
      </c>
      <c r="GP17" s="24">
        <v>34</v>
      </c>
      <c r="GQ17" s="24">
        <v>10.52</v>
      </c>
      <c r="GR17" s="24">
        <f>3.778/1.35</f>
        <v>2.79851851851852</v>
      </c>
      <c r="GS17" s="24">
        <v>34</v>
      </c>
      <c r="GT17" s="24">
        <v>10.02</v>
      </c>
      <c r="GU17" s="24">
        <f>5.36/1.35</f>
        <v>3.97037037037037</v>
      </c>
      <c r="GV17" s="24">
        <v>34</v>
      </c>
      <c r="GW17" s="24"/>
      <c r="GX17" s="24"/>
      <c r="GY17" s="24"/>
      <c r="GZ17" s="24"/>
      <c r="HA17" s="24"/>
      <c r="HB17" s="24"/>
      <c r="HC17" s="24"/>
      <c r="HD17" s="24"/>
      <c r="HE17" s="24"/>
      <c r="HF17" s="24"/>
      <c r="HG17" s="24"/>
      <c r="HH17" s="24"/>
      <c r="HI17" s="24"/>
      <c r="HJ17" s="24"/>
      <c r="HK17" s="24"/>
      <c r="HL17" s="24"/>
      <c r="HM17" s="24"/>
      <c r="HN17" s="24"/>
      <c r="HO17" s="24"/>
      <c r="HP17" s="24"/>
      <c r="HQ17" s="24"/>
      <c r="HR17" s="24"/>
      <c r="HS17" s="24"/>
      <c r="HT17" s="24"/>
      <c r="HU17" s="24"/>
      <c r="HV17" s="24"/>
      <c r="HW17" s="24"/>
      <c r="HX17" s="24"/>
      <c r="HY17" s="24"/>
      <c r="HZ17" s="24"/>
      <c r="IA17" s="24">
        <v>0.75</v>
      </c>
      <c r="IB17" s="24">
        <f>0.35/1.35</f>
        <v>0.259259259259259</v>
      </c>
      <c r="IC17" s="24">
        <v>34</v>
      </c>
      <c r="ID17" s="24">
        <v>0.72</v>
      </c>
      <c r="IE17" s="24">
        <f>0.2/1.35</f>
        <v>0.148148148148148</v>
      </c>
      <c r="IF17" s="24">
        <v>34</v>
      </c>
      <c r="IG17" s="24"/>
      <c r="IH17" s="24"/>
      <c r="II17" s="24"/>
      <c r="IJ17" s="24"/>
      <c r="IK17" s="24"/>
      <c r="IL17" s="24"/>
      <c r="IM17" s="24"/>
      <c r="IN17" s="24"/>
      <c r="IO17" s="24"/>
      <c r="IP17" s="24"/>
      <c r="IQ17" s="24"/>
      <c r="IR17" s="24"/>
      <c r="IS17" s="24"/>
      <c r="IT17" s="24"/>
      <c r="IU17" s="24"/>
      <c r="IV17" s="24"/>
      <c r="IW17" s="24"/>
      <c r="IX17" s="24"/>
      <c r="IY17" s="24"/>
      <c r="IZ17" s="24"/>
      <c r="JA17" s="24"/>
      <c r="JB17" s="24"/>
      <c r="JC17" s="24"/>
      <c r="JD17" s="24"/>
      <c r="JE17" s="24"/>
      <c r="JF17" s="24"/>
      <c r="JG17" s="24"/>
      <c r="JH17" s="24"/>
      <c r="JI17" s="24"/>
      <c r="JJ17" s="24"/>
      <c r="JK17" s="24"/>
      <c r="JL17" s="24"/>
      <c r="JM17" s="24"/>
      <c r="JN17" s="24"/>
      <c r="JO17" s="24"/>
      <c r="JP17" s="24"/>
      <c r="JQ17" s="24"/>
      <c r="JR17" s="24"/>
      <c r="JS17" s="24"/>
      <c r="JT17" s="24"/>
      <c r="JU17" s="24"/>
      <c r="JV17" s="24"/>
      <c r="JW17" s="24">
        <v>9.3</v>
      </c>
      <c r="JX17" s="24">
        <f>5.13/1.35</f>
        <v>3.8</v>
      </c>
      <c r="JY17" s="24">
        <v>34</v>
      </c>
      <c r="JZ17" s="24">
        <v>5.1</v>
      </c>
      <c r="KA17" s="24">
        <f>2.1/1.35</f>
        <v>1.55555555555556</v>
      </c>
      <c r="KB17" s="24">
        <v>34</v>
      </c>
      <c r="KC17" s="24"/>
    </row>
    <row r="18" ht="325.5" customHeight="1" spans="2:289">
      <c r="B18" s="14">
        <v>15</v>
      </c>
      <c r="C18" s="15" t="s">
        <v>202</v>
      </c>
      <c r="D18" s="12" t="s">
        <v>203</v>
      </c>
      <c r="E18" s="12" t="s">
        <v>204</v>
      </c>
      <c r="F18" s="12" t="s">
        <v>78</v>
      </c>
      <c r="G18" s="12" t="s">
        <v>78</v>
      </c>
      <c r="H18" s="12" t="s">
        <v>154</v>
      </c>
      <c r="I18" s="38" t="s">
        <v>205</v>
      </c>
      <c r="J18" s="12" t="s">
        <v>90</v>
      </c>
      <c r="K18" s="12" t="s">
        <v>206</v>
      </c>
      <c r="L18" s="12" t="s">
        <v>207</v>
      </c>
      <c r="M18" s="12" t="s">
        <v>208</v>
      </c>
      <c r="N18" s="12" t="s">
        <v>209</v>
      </c>
      <c r="O18" s="12" t="s">
        <v>94</v>
      </c>
      <c r="P18" s="12" t="s">
        <v>210</v>
      </c>
      <c r="Q18" s="12">
        <v>26</v>
      </c>
      <c r="R18" s="12">
        <v>27</v>
      </c>
      <c r="S18" s="25">
        <v>72.5</v>
      </c>
      <c r="T18" s="25">
        <v>8.6</v>
      </c>
      <c r="U18" s="25">
        <v>26</v>
      </c>
      <c r="V18" s="25">
        <v>71</v>
      </c>
      <c r="W18" s="25">
        <v>8.5</v>
      </c>
      <c r="X18" s="25">
        <v>27</v>
      </c>
      <c r="Y18" s="25">
        <v>27.8</v>
      </c>
      <c r="Z18" s="25">
        <v>3</v>
      </c>
      <c r="AA18" s="25">
        <v>26</v>
      </c>
      <c r="AB18" s="25">
        <v>27.1</v>
      </c>
      <c r="AC18" s="25">
        <v>3.3</v>
      </c>
      <c r="AD18" s="25">
        <v>27</v>
      </c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4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4"/>
      <c r="CB18" s="24"/>
      <c r="CC18" s="25"/>
      <c r="CD18" s="24"/>
      <c r="CE18" s="24"/>
      <c r="CF18" s="24"/>
      <c r="CG18" s="25">
        <v>89.8</v>
      </c>
      <c r="CH18" s="25">
        <v>8.5</v>
      </c>
      <c r="CI18" s="25">
        <v>26</v>
      </c>
      <c r="CJ18" s="25">
        <v>94.8</v>
      </c>
      <c r="CK18" s="25">
        <v>9.7</v>
      </c>
      <c r="CL18" s="25">
        <v>27</v>
      </c>
      <c r="CM18" s="25">
        <v>10.8</v>
      </c>
      <c r="CN18" s="25">
        <v>3</v>
      </c>
      <c r="CO18" s="25">
        <v>26</v>
      </c>
      <c r="CP18" s="25">
        <v>11.9</v>
      </c>
      <c r="CQ18" s="25">
        <v>2.4</v>
      </c>
      <c r="CR18" s="25">
        <v>27</v>
      </c>
      <c r="CS18" s="24"/>
      <c r="CT18" s="24"/>
      <c r="CU18" s="24"/>
      <c r="CV18" s="24"/>
      <c r="CW18" s="24"/>
      <c r="CX18" s="24"/>
      <c r="CY18" s="24">
        <v>2.6</v>
      </c>
      <c r="CZ18" s="24">
        <v>0.8</v>
      </c>
      <c r="DA18" s="24">
        <v>26</v>
      </c>
      <c r="DB18" s="24">
        <v>2.8</v>
      </c>
      <c r="DC18" s="24">
        <v>0.7</v>
      </c>
      <c r="DD18" s="24">
        <v>27</v>
      </c>
      <c r="DE18" s="24">
        <v>0.33</v>
      </c>
      <c r="DF18" s="24">
        <v>0.01</v>
      </c>
      <c r="DG18" s="24">
        <v>26</v>
      </c>
      <c r="DH18" s="24">
        <v>0.32</v>
      </c>
      <c r="DI18" s="24">
        <v>0.01</v>
      </c>
      <c r="DJ18" s="24">
        <v>27</v>
      </c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4"/>
      <c r="EC18" s="24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4"/>
      <c r="EP18" s="24"/>
      <c r="EQ18" s="24"/>
      <c r="ER18" s="24"/>
      <c r="ES18" s="24"/>
      <c r="ET18" s="24"/>
      <c r="EU18" s="24"/>
      <c r="EV18" s="24"/>
      <c r="EW18" s="24"/>
      <c r="EX18" s="24"/>
      <c r="EY18" s="24"/>
      <c r="EZ18" s="24"/>
      <c r="FA18" s="24"/>
      <c r="FB18" s="24"/>
      <c r="FC18" s="24"/>
      <c r="FD18" s="24"/>
      <c r="FE18" s="24"/>
      <c r="FF18" s="24"/>
      <c r="FG18" s="25">
        <v>164.9</v>
      </c>
      <c r="FH18" s="25">
        <v>37.9</v>
      </c>
      <c r="FI18" s="25">
        <v>26</v>
      </c>
      <c r="FJ18" s="25">
        <v>168.2</v>
      </c>
      <c r="FK18" s="25">
        <v>30</v>
      </c>
      <c r="FL18" s="25">
        <v>27</v>
      </c>
      <c r="FM18" s="25">
        <v>97.4</v>
      </c>
      <c r="FN18" s="25">
        <v>36.2</v>
      </c>
      <c r="FO18" s="25">
        <v>26</v>
      </c>
      <c r="FP18" s="25">
        <v>110.1</v>
      </c>
      <c r="FQ18" s="25">
        <v>47.9</v>
      </c>
      <c r="FR18" s="25">
        <v>27</v>
      </c>
      <c r="FS18" s="25">
        <v>101.1</v>
      </c>
      <c r="FT18" s="25">
        <v>30.9</v>
      </c>
      <c r="FU18" s="25">
        <v>26</v>
      </c>
      <c r="FV18" s="25">
        <v>98.5</v>
      </c>
      <c r="FW18" s="25">
        <v>26.6</v>
      </c>
      <c r="FX18" s="25">
        <v>27</v>
      </c>
      <c r="FY18" s="25">
        <v>44.3</v>
      </c>
      <c r="FZ18" s="25">
        <v>12.3</v>
      </c>
      <c r="GA18" s="25">
        <v>26</v>
      </c>
      <c r="GB18" s="25">
        <v>47.7</v>
      </c>
      <c r="GC18" s="25">
        <v>7.1</v>
      </c>
      <c r="GD18" s="25">
        <v>27</v>
      </c>
      <c r="GE18" s="25">
        <v>19.5</v>
      </c>
      <c r="GF18" s="25">
        <v>7.2</v>
      </c>
      <c r="GG18" s="25">
        <v>26</v>
      </c>
      <c r="GH18" s="25">
        <v>22</v>
      </c>
      <c r="GI18" s="25">
        <v>9.6</v>
      </c>
      <c r="GJ18" s="25">
        <v>27</v>
      </c>
      <c r="GK18" s="24"/>
      <c r="GL18" s="24"/>
      <c r="GM18" s="24"/>
      <c r="GN18" s="24"/>
      <c r="GO18" s="24"/>
      <c r="GP18" s="24"/>
      <c r="GQ18" s="24"/>
      <c r="GR18" s="24"/>
      <c r="GS18" s="24"/>
      <c r="GT18" s="24"/>
      <c r="GU18" s="24"/>
      <c r="GV18" s="24"/>
      <c r="GW18" s="24"/>
      <c r="GX18" s="24"/>
      <c r="GY18" s="24"/>
      <c r="GZ18" s="24"/>
      <c r="HA18" s="24"/>
      <c r="HB18" s="24"/>
      <c r="HC18" s="24"/>
      <c r="HD18" s="24"/>
      <c r="HE18" s="24"/>
      <c r="HF18" s="24"/>
      <c r="HG18" s="24"/>
      <c r="HH18" s="24"/>
      <c r="HI18" s="24"/>
      <c r="HJ18" s="24"/>
      <c r="HK18" s="24"/>
      <c r="HL18" s="24"/>
      <c r="HM18" s="24"/>
      <c r="HN18" s="24"/>
      <c r="HO18" s="24"/>
      <c r="HP18" s="24"/>
      <c r="HQ18" s="24"/>
      <c r="HR18" s="24"/>
      <c r="HS18" s="24"/>
      <c r="HT18" s="24"/>
      <c r="HU18" s="24"/>
      <c r="HV18" s="24"/>
      <c r="HW18" s="24"/>
      <c r="HX18" s="24"/>
      <c r="HY18" s="24"/>
      <c r="HZ18" s="24"/>
      <c r="IA18" s="24"/>
      <c r="IB18" s="24"/>
      <c r="IC18" s="24"/>
      <c r="ID18" s="24"/>
      <c r="IE18" s="24"/>
      <c r="IF18" s="24"/>
      <c r="IG18" s="24"/>
      <c r="IH18" s="24"/>
      <c r="II18" s="24"/>
      <c r="IJ18" s="24"/>
      <c r="IK18" s="24"/>
      <c r="IL18" s="24"/>
      <c r="IM18" s="24"/>
      <c r="IN18" s="24"/>
      <c r="IO18" s="24"/>
      <c r="IP18" s="24"/>
      <c r="IQ18" s="24"/>
      <c r="IR18" s="24"/>
      <c r="IS18" s="24"/>
      <c r="IT18" s="24"/>
      <c r="IU18" s="24"/>
      <c r="IV18" s="24"/>
      <c r="IW18" s="24"/>
      <c r="IX18" s="24"/>
      <c r="IY18" s="24"/>
      <c r="IZ18" s="24"/>
      <c r="JA18" s="24"/>
      <c r="JB18" s="24"/>
      <c r="JC18" s="24"/>
      <c r="JD18" s="24"/>
      <c r="JE18" s="24"/>
      <c r="JF18" s="24"/>
      <c r="JG18" s="24"/>
      <c r="JH18" s="24"/>
      <c r="JI18" s="24"/>
      <c r="JJ18" s="24"/>
      <c r="JK18" s="24"/>
      <c r="JL18" s="24"/>
      <c r="JM18" s="24"/>
      <c r="JN18" s="24"/>
      <c r="JO18" s="24"/>
      <c r="JP18" s="24"/>
      <c r="JQ18" s="24"/>
      <c r="JR18" s="24"/>
      <c r="JS18" s="24"/>
      <c r="JT18" s="24"/>
      <c r="JU18" s="24"/>
      <c r="JV18" s="24"/>
      <c r="JW18" s="24"/>
      <c r="JX18" s="24"/>
      <c r="JY18" s="24"/>
      <c r="JZ18" s="24"/>
      <c r="KA18" s="24"/>
      <c r="KB18" s="24"/>
      <c r="KC18" s="24"/>
    </row>
    <row r="19" ht="409.5" spans="2:289">
      <c r="B19" s="14">
        <v>16</v>
      </c>
      <c r="C19" s="15" t="s">
        <v>211</v>
      </c>
      <c r="D19" s="12" t="s">
        <v>143</v>
      </c>
      <c r="E19" s="12" t="s">
        <v>212</v>
      </c>
      <c r="F19" s="12" t="s">
        <v>162</v>
      </c>
      <c r="G19" s="12" t="s">
        <v>162</v>
      </c>
      <c r="H19" s="12" t="s">
        <v>213</v>
      </c>
      <c r="I19" s="38" t="s">
        <v>214</v>
      </c>
      <c r="J19" s="12" t="s">
        <v>90</v>
      </c>
      <c r="K19" s="12" t="s">
        <v>215</v>
      </c>
      <c r="L19" s="12"/>
      <c r="M19" s="12" t="s">
        <v>216</v>
      </c>
      <c r="N19" s="22" t="s">
        <v>217</v>
      </c>
      <c r="O19" s="12" t="s">
        <v>218</v>
      </c>
      <c r="P19" s="12" t="s">
        <v>219</v>
      </c>
      <c r="Q19" s="12">
        <v>52</v>
      </c>
      <c r="R19" s="12">
        <v>54</v>
      </c>
      <c r="S19" s="25"/>
      <c r="T19" s="25"/>
      <c r="U19" s="25"/>
      <c r="V19" s="25"/>
      <c r="W19" s="25"/>
      <c r="X19" s="25"/>
      <c r="Y19" s="24">
        <v>25.23</v>
      </c>
      <c r="Z19" s="24">
        <v>5.02</v>
      </c>
      <c r="AA19" s="24">
        <v>52</v>
      </c>
      <c r="AB19" s="24">
        <v>23.95</v>
      </c>
      <c r="AC19" s="24">
        <v>4.28</v>
      </c>
      <c r="AD19" s="24">
        <v>54</v>
      </c>
      <c r="AE19" s="24">
        <v>0.82</v>
      </c>
      <c r="AF19" s="24">
        <v>0.21</v>
      </c>
      <c r="AG19" s="24">
        <v>52</v>
      </c>
      <c r="AH19" s="24">
        <v>0.77</v>
      </c>
      <c r="AI19" s="24">
        <v>0.16</v>
      </c>
      <c r="AJ19" s="24">
        <v>54</v>
      </c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12">
        <v>42.22</v>
      </c>
      <c r="AX19" s="31">
        <v>25.44</v>
      </c>
      <c r="AY19" s="31">
        <v>52</v>
      </c>
      <c r="AZ19" s="12">
        <v>74.16</v>
      </c>
      <c r="BA19" s="32">
        <v>53.78</v>
      </c>
      <c r="BB19" s="32">
        <v>54</v>
      </c>
      <c r="BC19" s="12"/>
      <c r="BD19" s="31"/>
      <c r="BE19" s="31"/>
      <c r="BF19" s="12"/>
      <c r="BG19" s="32"/>
      <c r="BH19" s="32"/>
      <c r="BI19" s="24">
        <v>0.22</v>
      </c>
      <c r="BJ19" s="24">
        <v>0.084</v>
      </c>
      <c r="BK19" s="24">
        <v>52</v>
      </c>
      <c r="BL19" s="24">
        <v>0.182</v>
      </c>
      <c r="BM19" s="24">
        <v>0.083</v>
      </c>
      <c r="BN19" s="24">
        <v>54</v>
      </c>
      <c r="BO19" s="24">
        <v>0.54</v>
      </c>
      <c r="BP19" s="24">
        <v>0.22</v>
      </c>
      <c r="BQ19" s="24">
        <v>52</v>
      </c>
      <c r="BR19" s="24">
        <v>1.3</v>
      </c>
      <c r="BS19" s="24">
        <v>5.49</v>
      </c>
      <c r="BT19" s="24">
        <v>54</v>
      </c>
      <c r="BU19" s="12"/>
      <c r="BV19" s="31"/>
      <c r="BW19" s="31"/>
      <c r="BX19" s="12"/>
      <c r="BY19" s="32"/>
      <c r="BZ19" s="32"/>
      <c r="CA19" s="12">
        <v>2.8416</v>
      </c>
      <c r="CB19" s="31">
        <v>1.3673</v>
      </c>
      <c r="CC19" s="31">
        <v>52</v>
      </c>
      <c r="CD19" s="12">
        <v>2.9522</v>
      </c>
      <c r="CE19" s="12">
        <v>1.1651</v>
      </c>
      <c r="CF19" s="25">
        <v>54</v>
      </c>
      <c r="CG19" s="24">
        <v>82.55</v>
      </c>
      <c r="CH19" s="24">
        <v>14.03</v>
      </c>
      <c r="CI19" s="24">
        <v>52</v>
      </c>
      <c r="CJ19" s="24">
        <v>85.4</v>
      </c>
      <c r="CK19" s="24">
        <v>9.25</v>
      </c>
      <c r="CL19" s="24">
        <v>54</v>
      </c>
      <c r="CM19" s="24">
        <v>10.93</v>
      </c>
      <c r="CN19" s="24">
        <v>12.57</v>
      </c>
      <c r="CO19" s="24">
        <v>52</v>
      </c>
      <c r="CP19" s="24">
        <v>10.57</v>
      </c>
      <c r="CQ19" s="24">
        <v>8.81</v>
      </c>
      <c r="CR19" s="24">
        <v>54</v>
      </c>
      <c r="CS19" s="24"/>
      <c r="CT19" s="24"/>
      <c r="CU19" s="24"/>
      <c r="CV19" s="24"/>
      <c r="CW19" s="24"/>
      <c r="CX19" s="24"/>
      <c r="CY19" s="24">
        <v>2.36</v>
      </c>
      <c r="CZ19" s="24">
        <v>2.97</v>
      </c>
      <c r="DA19" s="24">
        <v>52</v>
      </c>
      <c r="DB19" s="24">
        <v>2.23</v>
      </c>
      <c r="DC19" s="24">
        <v>2.09</v>
      </c>
      <c r="DD19" s="24">
        <v>54</v>
      </c>
      <c r="DE19" s="24"/>
      <c r="DF19" s="24"/>
      <c r="DG19" s="24"/>
      <c r="DH19" s="24"/>
      <c r="DI19" s="24"/>
      <c r="DJ19" s="24"/>
      <c r="DK19" s="24">
        <v>8.52</v>
      </c>
      <c r="DL19" s="24">
        <v>6.57</v>
      </c>
      <c r="DM19" s="24">
        <v>52</v>
      </c>
      <c r="DN19" s="24">
        <v>4.43</v>
      </c>
      <c r="DO19" s="24">
        <v>2.85</v>
      </c>
      <c r="DP19" s="24">
        <v>54</v>
      </c>
      <c r="DQ19" s="24">
        <v>5.89</v>
      </c>
      <c r="DR19" s="24">
        <v>1.61</v>
      </c>
      <c r="DS19" s="24">
        <v>52</v>
      </c>
      <c r="DT19" s="24">
        <v>5.59</v>
      </c>
      <c r="DU19" s="24">
        <v>1.77</v>
      </c>
      <c r="DV19" s="24">
        <v>54</v>
      </c>
      <c r="DW19" s="24">
        <v>1.45</v>
      </c>
      <c r="DX19" s="24">
        <v>0.87</v>
      </c>
      <c r="DY19" s="24">
        <v>52</v>
      </c>
      <c r="DZ19" s="24">
        <v>0.81</v>
      </c>
      <c r="EA19" s="24">
        <v>0.47</v>
      </c>
      <c r="EB19" s="24">
        <v>54</v>
      </c>
      <c r="EC19" s="24">
        <v>47.03</v>
      </c>
      <c r="ED19" s="24">
        <v>25.04</v>
      </c>
      <c r="EE19" s="24">
        <v>52</v>
      </c>
      <c r="EF19" s="24">
        <v>46.59</v>
      </c>
      <c r="EG19" s="24">
        <v>32.2</v>
      </c>
      <c r="EH19" s="24">
        <v>54</v>
      </c>
      <c r="EI19" s="24">
        <v>4.41</v>
      </c>
      <c r="EJ19" s="24">
        <v>4.35</v>
      </c>
      <c r="EK19" s="24">
        <v>52</v>
      </c>
      <c r="EL19" s="24">
        <v>0.7</v>
      </c>
      <c r="EM19" s="24">
        <v>0.59</v>
      </c>
      <c r="EN19" s="24">
        <v>54</v>
      </c>
      <c r="EO19" s="24">
        <v>10.81</v>
      </c>
      <c r="EP19" s="24">
        <v>5</v>
      </c>
      <c r="EQ19" s="24">
        <v>52</v>
      </c>
      <c r="ER19" s="24">
        <v>13.66</v>
      </c>
      <c r="ES19" s="24">
        <v>4.67</v>
      </c>
      <c r="ET19" s="24">
        <v>54</v>
      </c>
      <c r="EU19" s="24">
        <v>475</v>
      </c>
      <c r="EV19" s="24">
        <v>310</v>
      </c>
      <c r="EW19" s="24">
        <v>52</v>
      </c>
      <c r="EX19" s="24">
        <v>374</v>
      </c>
      <c r="EY19" s="24">
        <v>195</v>
      </c>
      <c r="EZ19" s="24">
        <v>54</v>
      </c>
      <c r="FA19" s="24"/>
      <c r="FB19" s="24"/>
      <c r="FC19" s="24"/>
      <c r="FD19" s="24"/>
      <c r="FE19" s="24"/>
      <c r="FF19" s="24"/>
      <c r="FG19" s="24">
        <v>179.63</v>
      </c>
      <c r="FH19" s="24">
        <v>28.18</v>
      </c>
      <c r="FI19" s="25">
        <v>52</v>
      </c>
      <c r="FJ19" s="24">
        <v>179.74</v>
      </c>
      <c r="FK19" s="24">
        <v>34.01</v>
      </c>
      <c r="FL19" s="24">
        <v>54</v>
      </c>
      <c r="FM19" s="12">
        <v>117</v>
      </c>
      <c r="FN19" s="12">
        <v>69.45</v>
      </c>
      <c r="FO19" s="31">
        <v>52</v>
      </c>
      <c r="FP19" s="12">
        <v>123.2</v>
      </c>
      <c r="FQ19" s="12">
        <v>60.87</v>
      </c>
      <c r="FR19" s="25">
        <v>54</v>
      </c>
      <c r="FS19" s="12">
        <v>105.55</v>
      </c>
      <c r="FT19" s="12">
        <v>29.15</v>
      </c>
      <c r="FU19" s="31">
        <v>52</v>
      </c>
      <c r="FV19" s="12">
        <v>99.12</v>
      </c>
      <c r="FW19" s="12">
        <v>27.51</v>
      </c>
      <c r="FX19" s="25">
        <v>54</v>
      </c>
      <c r="FY19" s="12">
        <v>50.13</v>
      </c>
      <c r="FZ19" s="12">
        <v>10.88</v>
      </c>
      <c r="GA19" s="12">
        <v>52</v>
      </c>
      <c r="GB19" s="12">
        <v>54.5</v>
      </c>
      <c r="GC19" s="12">
        <v>12.15</v>
      </c>
      <c r="GD19" s="12">
        <v>54</v>
      </c>
      <c r="GE19" s="24"/>
      <c r="GF19" s="24"/>
      <c r="GG19" s="24"/>
      <c r="GH19" s="24"/>
      <c r="GI19" s="24"/>
      <c r="GJ19" s="24"/>
      <c r="GK19" s="12">
        <v>14.4</v>
      </c>
      <c r="GL19" s="12">
        <v>6.31</v>
      </c>
      <c r="GM19" s="31">
        <v>52</v>
      </c>
      <c r="GN19" s="12">
        <v>12.09</v>
      </c>
      <c r="GO19" s="12">
        <v>5.4</v>
      </c>
      <c r="GP19" s="25">
        <v>54</v>
      </c>
      <c r="GQ19" s="12">
        <v>15.19</v>
      </c>
      <c r="GR19" s="12">
        <v>3.56</v>
      </c>
      <c r="GS19" s="12">
        <v>52</v>
      </c>
      <c r="GT19" s="12">
        <v>16.06</v>
      </c>
      <c r="GU19" s="12">
        <v>5.51</v>
      </c>
      <c r="GV19" s="12">
        <v>54</v>
      </c>
      <c r="GW19" s="24"/>
      <c r="GX19" s="24"/>
      <c r="GY19" s="24"/>
      <c r="GZ19" s="24"/>
      <c r="HA19" s="24"/>
      <c r="HB19" s="24"/>
      <c r="HC19" s="24"/>
      <c r="HD19" s="24"/>
      <c r="HE19" s="24"/>
      <c r="HF19" s="24"/>
      <c r="HG19" s="24"/>
      <c r="HH19" s="24"/>
      <c r="HI19" s="24"/>
      <c r="HJ19" s="24"/>
      <c r="HK19" s="24"/>
      <c r="HL19" s="24"/>
      <c r="HM19" s="24"/>
      <c r="HN19" s="24"/>
      <c r="HO19" s="24"/>
      <c r="HP19" s="24"/>
      <c r="HQ19" s="24"/>
      <c r="HR19" s="24"/>
      <c r="HS19" s="24"/>
      <c r="HT19" s="24"/>
      <c r="HU19" s="24"/>
      <c r="HV19" s="24"/>
      <c r="HW19" s="24"/>
      <c r="HX19" s="24"/>
      <c r="HY19" s="24"/>
      <c r="HZ19" s="24"/>
      <c r="IA19" s="24"/>
      <c r="IB19" s="24"/>
      <c r="IC19" s="24"/>
      <c r="ID19" s="24"/>
      <c r="IE19" s="24"/>
      <c r="IF19" s="24"/>
      <c r="IG19" s="24"/>
      <c r="IH19" s="24"/>
      <c r="II19" s="24"/>
      <c r="IJ19" s="24"/>
      <c r="IK19" s="24"/>
      <c r="IL19" s="24"/>
      <c r="IM19" s="24">
        <v>2.36</v>
      </c>
      <c r="IN19" s="24">
        <v>1.46</v>
      </c>
      <c r="IO19" s="24">
        <v>52</v>
      </c>
      <c r="IP19" s="24">
        <v>2.75</v>
      </c>
      <c r="IQ19" s="24">
        <v>2.05</v>
      </c>
      <c r="IR19" s="24">
        <v>54</v>
      </c>
      <c r="IS19" s="24"/>
      <c r="IT19" s="24"/>
      <c r="IU19" s="24"/>
      <c r="IV19" s="24"/>
      <c r="IW19" s="24"/>
      <c r="IX19" s="24"/>
      <c r="IY19" s="24"/>
      <c r="IZ19" s="24"/>
      <c r="JA19" s="24"/>
      <c r="JB19" s="24"/>
      <c r="JC19" s="24"/>
      <c r="JD19" s="24"/>
      <c r="JE19" s="24"/>
      <c r="JF19" s="24"/>
      <c r="JG19" s="24"/>
      <c r="JH19" s="24"/>
      <c r="JI19" s="24"/>
      <c r="JJ19" s="24"/>
      <c r="JK19" s="24"/>
      <c r="JL19" s="24"/>
      <c r="JM19" s="24"/>
      <c r="JN19" s="24"/>
      <c r="JO19" s="24"/>
      <c r="JP19" s="24"/>
      <c r="JQ19" s="24">
        <v>21.88</v>
      </c>
      <c r="JR19" s="24">
        <v>11.23</v>
      </c>
      <c r="JS19" s="24">
        <v>52</v>
      </c>
      <c r="JT19" s="24">
        <v>21.81</v>
      </c>
      <c r="JU19" s="24">
        <v>10.99</v>
      </c>
      <c r="JV19" s="24">
        <v>54</v>
      </c>
      <c r="JW19" s="24">
        <v>9.07</v>
      </c>
      <c r="JX19" s="24">
        <v>9.32</v>
      </c>
      <c r="JY19" s="24">
        <v>52</v>
      </c>
      <c r="JZ19" s="24">
        <v>8.51</v>
      </c>
      <c r="KA19" s="24">
        <v>6.2</v>
      </c>
      <c r="KB19" s="24">
        <v>54</v>
      </c>
      <c r="KC19" s="24"/>
    </row>
    <row r="20" ht="270" spans="2:289">
      <c r="B20" s="14">
        <v>17</v>
      </c>
      <c r="C20" s="15" t="s">
        <v>220</v>
      </c>
      <c r="D20" s="12" t="s">
        <v>143</v>
      </c>
      <c r="E20" s="12" t="s">
        <v>77</v>
      </c>
      <c r="F20" s="12" t="s">
        <v>162</v>
      </c>
      <c r="G20" s="12" t="s">
        <v>162</v>
      </c>
      <c r="H20" s="12" t="s">
        <v>221</v>
      </c>
      <c r="I20" s="12" t="s">
        <v>222</v>
      </c>
      <c r="J20" s="12" t="s">
        <v>90</v>
      </c>
      <c r="K20" s="12" t="s">
        <v>223</v>
      </c>
      <c r="L20" s="12" t="s">
        <v>224</v>
      </c>
      <c r="M20" s="12" t="s">
        <v>225</v>
      </c>
      <c r="N20" s="12" t="s">
        <v>192</v>
      </c>
      <c r="O20" s="12" t="s">
        <v>226</v>
      </c>
      <c r="P20" s="12" t="s">
        <v>227</v>
      </c>
      <c r="Q20" s="12">
        <v>20</v>
      </c>
      <c r="R20" s="12">
        <v>20</v>
      </c>
      <c r="S20" s="25">
        <v>57.4</v>
      </c>
      <c r="T20" s="25">
        <v>7.6</v>
      </c>
      <c r="U20" s="25">
        <v>20</v>
      </c>
      <c r="V20" s="25">
        <v>61.9</v>
      </c>
      <c r="W20" s="25">
        <v>9.47</v>
      </c>
      <c r="X20" s="25">
        <v>20</v>
      </c>
      <c r="Y20" s="25">
        <v>21.9</v>
      </c>
      <c r="Z20" s="25">
        <v>2.5</v>
      </c>
      <c r="AA20" s="25">
        <v>20</v>
      </c>
      <c r="AB20" s="25">
        <v>23.03</v>
      </c>
      <c r="AC20" s="25">
        <v>3.6</v>
      </c>
      <c r="AD20" s="25">
        <v>20</v>
      </c>
      <c r="AE20" s="24"/>
      <c r="AF20" s="24"/>
      <c r="AG20" s="24"/>
      <c r="AH20" s="24"/>
      <c r="AI20" s="24"/>
      <c r="AJ20" s="24"/>
      <c r="AK20" s="25"/>
      <c r="AL20" s="25"/>
      <c r="AM20" s="25"/>
      <c r="AN20" s="25"/>
      <c r="AO20" s="25"/>
      <c r="AP20" s="25"/>
      <c r="AQ20" s="24"/>
      <c r="AR20" s="24"/>
      <c r="AS20" s="24"/>
      <c r="AT20" s="24"/>
      <c r="AU20" s="24"/>
      <c r="AV20" s="24"/>
      <c r="AW20" s="24">
        <v>56.29</v>
      </c>
      <c r="AX20" s="24">
        <v>24.3</v>
      </c>
      <c r="AY20" s="24">
        <v>20</v>
      </c>
      <c r="AZ20" s="24">
        <v>55.42</v>
      </c>
      <c r="BA20" s="32">
        <v>25.7</v>
      </c>
      <c r="BB20" s="32">
        <v>20</v>
      </c>
      <c r="BC20" s="25"/>
      <c r="BD20" s="25"/>
      <c r="BE20" s="25"/>
      <c r="BF20" s="25"/>
      <c r="BG20" s="25"/>
      <c r="BH20" s="25"/>
      <c r="BI20" s="24">
        <v>0.298</v>
      </c>
      <c r="BJ20" s="24">
        <v>0.094</v>
      </c>
      <c r="BK20" s="24">
        <v>20</v>
      </c>
      <c r="BL20" s="24">
        <v>0.274</v>
      </c>
      <c r="BM20" s="24">
        <v>0.116</v>
      </c>
      <c r="BN20" s="24">
        <v>20</v>
      </c>
      <c r="BO20" s="24">
        <v>73</v>
      </c>
      <c r="BP20" s="24">
        <v>46</v>
      </c>
      <c r="BQ20" s="24">
        <v>20</v>
      </c>
      <c r="BR20" s="24">
        <v>58</v>
      </c>
      <c r="BS20" s="24">
        <v>57</v>
      </c>
      <c r="BT20" s="24">
        <v>20</v>
      </c>
      <c r="BU20" s="24">
        <v>5.99</v>
      </c>
      <c r="BV20" s="24">
        <v>5.24</v>
      </c>
      <c r="BW20" s="24">
        <v>20</v>
      </c>
      <c r="BX20" s="24">
        <v>3.8</v>
      </c>
      <c r="BY20" s="24">
        <v>2.6</v>
      </c>
      <c r="BZ20" s="24">
        <v>20</v>
      </c>
      <c r="CA20" s="24">
        <v>1.89</v>
      </c>
      <c r="CB20" s="24">
        <v>0.59</v>
      </c>
      <c r="CC20" s="24">
        <v>20</v>
      </c>
      <c r="CD20" s="24">
        <v>1.82</v>
      </c>
      <c r="CE20" s="24">
        <v>0.46</v>
      </c>
      <c r="CF20" s="24">
        <v>20</v>
      </c>
      <c r="CG20" s="34">
        <v>79.02</v>
      </c>
      <c r="CH20" s="25">
        <v>10.06</v>
      </c>
      <c r="CI20" s="25">
        <v>20</v>
      </c>
      <c r="CJ20" s="25">
        <v>78.48</v>
      </c>
      <c r="CK20" s="25">
        <v>9.54</v>
      </c>
      <c r="CL20" s="25">
        <v>20</v>
      </c>
      <c r="CM20" s="25">
        <v>5.2</v>
      </c>
      <c r="CN20" s="25">
        <v>3.04</v>
      </c>
      <c r="CO20" s="25">
        <v>20</v>
      </c>
      <c r="CP20" s="25">
        <v>8.12</v>
      </c>
      <c r="CQ20" s="25">
        <v>4.3</v>
      </c>
      <c r="CR20" s="25">
        <v>20</v>
      </c>
      <c r="CS20" s="24"/>
      <c r="CT20" s="24"/>
      <c r="CU20" s="24"/>
      <c r="CV20" s="24"/>
      <c r="CW20" s="24"/>
      <c r="CX20" s="24"/>
      <c r="CY20" s="25">
        <v>1.03</v>
      </c>
      <c r="CZ20" s="25">
        <v>0.64</v>
      </c>
      <c r="DA20" s="25">
        <v>20</v>
      </c>
      <c r="DB20" s="25">
        <v>1.57</v>
      </c>
      <c r="DC20" s="25">
        <v>0.87</v>
      </c>
      <c r="DD20" s="25">
        <v>20</v>
      </c>
      <c r="DE20" s="24"/>
      <c r="DF20" s="24"/>
      <c r="DG20" s="24"/>
      <c r="DH20" s="24"/>
      <c r="DI20" s="24"/>
      <c r="DJ20" s="24"/>
      <c r="DK20" s="24">
        <v>7.56</v>
      </c>
      <c r="DL20" s="24">
        <v>4.5</v>
      </c>
      <c r="DM20" s="24">
        <v>20</v>
      </c>
      <c r="DN20" s="24">
        <v>8.01</v>
      </c>
      <c r="DO20" s="24">
        <v>2.9</v>
      </c>
      <c r="DP20" s="24">
        <v>20</v>
      </c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4"/>
      <c r="EC20" s="24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4">
        <v>12.5</v>
      </c>
      <c r="EP20" s="24">
        <v>5.32</v>
      </c>
      <c r="EQ20" s="24">
        <v>20</v>
      </c>
      <c r="ER20" s="24">
        <v>12.01</v>
      </c>
      <c r="ES20" s="24">
        <v>4.5</v>
      </c>
      <c r="ET20" s="24">
        <v>20</v>
      </c>
      <c r="EU20" s="24"/>
      <c r="EV20" s="24"/>
      <c r="EW20" s="24"/>
      <c r="EX20" s="24"/>
      <c r="EY20" s="24"/>
      <c r="EZ20" s="24"/>
      <c r="FA20" s="24"/>
      <c r="FB20" s="24"/>
      <c r="FC20" s="24"/>
      <c r="FD20" s="24"/>
      <c r="FE20" s="24"/>
      <c r="FF20" s="24"/>
      <c r="FG20" s="24"/>
      <c r="FH20" s="24"/>
      <c r="FI20" s="24"/>
      <c r="FJ20" s="24"/>
      <c r="FK20" s="24"/>
      <c r="FL20" s="24"/>
      <c r="FM20" s="36"/>
      <c r="FN20" s="36"/>
      <c r="FO20" s="36"/>
      <c r="FP20" s="24"/>
      <c r="FQ20" s="24"/>
      <c r="FR20" s="24"/>
      <c r="FS20" s="24"/>
      <c r="FT20" s="24"/>
      <c r="FU20" s="24"/>
      <c r="FV20" s="24"/>
      <c r="FW20" s="24"/>
      <c r="FX20" s="24"/>
      <c r="FY20" s="25"/>
      <c r="FZ20" s="25"/>
      <c r="GA20" s="25"/>
      <c r="GB20" s="25"/>
      <c r="GC20" s="25"/>
      <c r="GD20" s="25"/>
      <c r="GE20" s="24"/>
      <c r="GF20" s="24"/>
      <c r="GG20" s="24"/>
      <c r="GH20" s="24"/>
      <c r="GI20" s="24"/>
      <c r="GJ20" s="24"/>
      <c r="GK20" s="24"/>
      <c r="GL20" s="24"/>
      <c r="GM20" s="24"/>
      <c r="GN20" s="24"/>
      <c r="GO20" s="24"/>
      <c r="GP20" s="24"/>
      <c r="GQ20" s="24"/>
      <c r="GR20" s="24"/>
      <c r="GS20" s="24"/>
      <c r="GT20" s="24"/>
      <c r="GU20" s="24"/>
      <c r="GV20" s="24"/>
      <c r="GW20" s="24"/>
      <c r="GX20" s="24"/>
      <c r="GY20" s="24"/>
      <c r="GZ20" s="24"/>
      <c r="HA20" s="24"/>
      <c r="HB20" s="24"/>
      <c r="HC20" s="24"/>
      <c r="HD20" s="24"/>
      <c r="HE20" s="24"/>
      <c r="HF20" s="24"/>
      <c r="HG20" s="24"/>
      <c r="HH20" s="24"/>
      <c r="HI20" s="24"/>
      <c r="HJ20" s="24"/>
      <c r="HK20" s="24"/>
      <c r="HL20" s="24"/>
      <c r="HM20" s="24"/>
      <c r="HN20" s="24"/>
      <c r="HO20" s="24"/>
      <c r="HP20" s="24"/>
      <c r="HQ20" s="24"/>
      <c r="HR20" s="24"/>
      <c r="HS20" s="24"/>
      <c r="HT20" s="24"/>
      <c r="HU20" s="24"/>
      <c r="HV20" s="24"/>
      <c r="HW20" s="24"/>
      <c r="HX20" s="24"/>
      <c r="HY20" s="24"/>
      <c r="HZ20" s="24"/>
      <c r="IA20" s="24"/>
      <c r="IB20" s="24"/>
      <c r="IC20" s="24"/>
      <c r="ID20" s="24"/>
      <c r="IE20" s="24"/>
      <c r="IF20" s="24"/>
      <c r="IG20" s="24"/>
      <c r="IH20" s="24"/>
      <c r="II20" s="24"/>
      <c r="IJ20" s="24"/>
      <c r="IK20" s="24"/>
      <c r="IL20" s="24"/>
      <c r="IM20" s="24">
        <v>1.82</v>
      </c>
      <c r="IN20" s="24">
        <v>0.34</v>
      </c>
      <c r="IO20" s="24">
        <v>20</v>
      </c>
      <c r="IP20" s="24">
        <v>1.53</v>
      </c>
      <c r="IQ20" s="24">
        <v>0.4</v>
      </c>
      <c r="IR20" s="24">
        <v>20</v>
      </c>
      <c r="IS20" s="24"/>
      <c r="IT20" s="24"/>
      <c r="IU20" s="24"/>
      <c r="IV20" s="24"/>
      <c r="IW20" s="24"/>
      <c r="IX20" s="24"/>
      <c r="IY20" s="24"/>
      <c r="IZ20" s="24"/>
      <c r="JA20" s="24"/>
      <c r="JB20" s="24"/>
      <c r="JC20" s="24"/>
      <c r="JD20" s="24"/>
      <c r="JE20" s="24"/>
      <c r="JF20" s="24"/>
      <c r="JG20" s="24"/>
      <c r="JH20" s="24"/>
      <c r="JI20" s="24"/>
      <c r="JJ20" s="24"/>
      <c r="JK20" s="24"/>
      <c r="JL20" s="24"/>
      <c r="JM20" s="24"/>
      <c r="JN20" s="24"/>
      <c r="JO20" s="24"/>
      <c r="JP20" s="24"/>
      <c r="JQ20" s="24"/>
      <c r="JR20" s="24"/>
      <c r="JS20" s="24"/>
      <c r="JT20" s="24"/>
      <c r="JU20" s="24"/>
      <c r="JV20" s="24"/>
      <c r="JW20" s="24">
        <v>12.6</v>
      </c>
      <c r="JX20" s="24">
        <v>6.25</v>
      </c>
      <c r="JY20" s="24">
        <v>20</v>
      </c>
      <c r="JZ20" s="24">
        <v>10.26</v>
      </c>
      <c r="KA20" s="24">
        <v>4.6</v>
      </c>
      <c r="KB20" s="24">
        <v>20</v>
      </c>
      <c r="KC20" s="24"/>
    </row>
    <row r="21" spans="3:194">
      <c r="C21" s="19"/>
      <c r="K21" s="20"/>
      <c r="L21" s="20"/>
      <c r="M21" s="20"/>
      <c r="N21" s="20"/>
      <c r="O21" s="20"/>
      <c r="P21" s="20"/>
      <c r="CG21" s="9"/>
      <c r="CH21" s="9"/>
      <c r="FM21" s="20"/>
      <c r="FN21" s="20"/>
      <c r="FO21" s="20"/>
      <c r="FY21" s="9"/>
      <c r="FZ21" s="9"/>
      <c r="GJ21" s="20"/>
      <c r="GK21" s="20"/>
      <c r="GL21" s="20"/>
    </row>
    <row r="22" spans="3:194">
      <c r="C22" s="19"/>
      <c r="K22" s="20"/>
      <c r="L22" s="20"/>
      <c r="M22" s="20"/>
      <c r="N22" s="20"/>
      <c r="O22" s="20"/>
      <c r="CG22" s="9"/>
      <c r="CH22" s="9"/>
      <c r="FM22" s="20"/>
      <c r="FN22" s="20"/>
      <c r="FO22" s="20"/>
      <c r="FY22" s="9"/>
      <c r="FZ22" s="9"/>
      <c r="GJ22" s="20"/>
      <c r="GK22" s="20"/>
      <c r="GL22" s="20"/>
    </row>
    <row r="23" spans="3:194">
      <c r="C23" s="19"/>
      <c r="K23" s="20"/>
      <c r="L23" s="20"/>
      <c r="M23" s="20"/>
      <c r="N23" s="20"/>
      <c r="O23" s="20"/>
      <c r="FM23" s="20"/>
      <c r="FN23" s="20"/>
      <c r="FO23" s="20"/>
      <c r="FY23" s="9"/>
      <c r="FZ23" s="9"/>
      <c r="GJ23" s="20"/>
      <c r="GK23" s="20"/>
      <c r="GL23" s="20"/>
    </row>
    <row r="24" spans="3:194">
      <c r="C24" s="19"/>
      <c r="K24" s="20"/>
      <c r="L24" s="20"/>
      <c r="M24" s="20"/>
      <c r="N24" s="20"/>
      <c r="O24" s="20"/>
      <c r="FM24" s="20"/>
      <c r="FN24" s="20"/>
      <c r="FO24" s="20"/>
      <c r="FY24" s="9"/>
      <c r="FZ24" s="9"/>
      <c r="GJ24" s="20"/>
      <c r="GK24" s="20"/>
      <c r="GL24" s="20"/>
    </row>
    <row r="25" spans="3:194">
      <c r="C25" s="19"/>
      <c r="K25" s="20"/>
      <c r="L25" s="20"/>
      <c r="M25" s="20"/>
      <c r="N25" s="20"/>
      <c r="O25" s="20"/>
      <c r="FM25" s="20"/>
      <c r="FN25" s="20"/>
      <c r="FO25" s="20"/>
      <c r="GJ25" s="20"/>
      <c r="GK25" s="20"/>
      <c r="GL25" s="20"/>
    </row>
    <row r="26" spans="3:194">
      <c r="C26" s="19"/>
      <c r="GJ26" s="20"/>
      <c r="GK26" s="20"/>
      <c r="GL26" s="20"/>
    </row>
    <row r="27" spans="3:3">
      <c r="C27" s="19"/>
    </row>
    <row r="28" spans="3:3">
      <c r="C28" s="19"/>
    </row>
    <row r="29" spans="3:3">
      <c r="C29" s="19"/>
    </row>
    <row r="31" spans="17:17">
      <c r="Q31" s="5"/>
    </row>
    <row r="32" spans="17:17">
      <c r="Q32" s="5"/>
    </row>
    <row r="33" spans="17:17">
      <c r="Q33" s="5"/>
    </row>
    <row r="34" spans="3:17">
      <c r="C34" s="19"/>
      <c r="Q34" s="5"/>
    </row>
    <row r="35" spans="3:17">
      <c r="C35" s="19"/>
      <c r="Q35" s="5"/>
    </row>
    <row r="36" spans="3:30">
      <c r="C36" s="19"/>
      <c r="Q36" s="5"/>
      <c r="V36" s="20"/>
      <c r="W36" s="20"/>
      <c r="X36" s="20"/>
      <c r="Y36" s="20"/>
      <c r="Z36" s="20"/>
      <c r="AA36" s="20"/>
      <c r="AB36" s="20"/>
      <c r="AC36" s="20"/>
      <c r="AD36" s="20"/>
    </row>
    <row r="37" spans="3:30">
      <c r="C37" s="19"/>
      <c r="Q37" s="5"/>
      <c r="V37" s="20"/>
      <c r="W37" s="20"/>
      <c r="X37" s="20"/>
      <c r="Y37" s="20"/>
      <c r="Z37" s="20"/>
      <c r="AA37" s="20"/>
      <c r="AB37" s="20"/>
      <c r="AC37" s="20"/>
      <c r="AD37" s="20"/>
    </row>
    <row r="38" spans="3:30">
      <c r="C38" s="19"/>
      <c r="Q38" s="5"/>
      <c r="V38" s="20"/>
      <c r="W38" s="20"/>
      <c r="X38" s="20"/>
      <c r="Y38" s="20"/>
      <c r="Z38" s="20"/>
      <c r="AA38" s="20"/>
      <c r="AB38" s="20"/>
      <c r="AC38" s="20"/>
      <c r="AD38" s="20"/>
    </row>
    <row r="39" spans="3:30">
      <c r="C39" s="19"/>
      <c r="V39" s="20"/>
      <c r="W39" s="20"/>
      <c r="X39" s="20"/>
      <c r="Y39" s="20"/>
      <c r="Z39" s="20"/>
      <c r="AA39" s="20"/>
      <c r="AB39" s="20"/>
      <c r="AC39" s="20"/>
      <c r="AD39" s="20"/>
    </row>
    <row r="40" spans="3:30">
      <c r="C40" s="19"/>
      <c r="D40" s="20"/>
      <c r="E40" s="20"/>
      <c r="F40" s="20"/>
      <c r="G40" s="20"/>
      <c r="H40" s="20"/>
      <c r="I40" s="20"/>
      <c r="V40" s="20"/>
      <c r="W40" s="20"/>
      <c r="X40" s="20"/>
      <c r="Y40" s="20"/>
      <c r="Z40" s="20"/>
      <c r="AA40" s="20"/>
      <c r="AB40" s="20"/>
      <c r="AC40" s="20"/>
      <c r="AD40" s="20"/>
    </row>
    <row r="41" spans="3:30">
      <c r="C41" s="19"/>
      <c r="D41" s="20"/>
      <c r="E41" s="20"/>
      <c r="F41" s="20"/>
      <c r="G41" s="20"/>
      <c r="H41" s="20"/>
      <c r="I41" s="20"/>
      <c r="V41" s="20"/>
      <c r="W41" s="20"/>
      <c r="X41" s="20"/>
      <c r="Y41" s="20"/>
      <c r="Z41" s="20"/>
      <c r="AA41" s="20"/>
      <c r="AB41" s="20"/>
      <c r="AC41" s="20"/>
      <c r="AD41" s="20"/>
    </row>
    <row r="42" spans="3:30">
      <c r="C42" s="19"/>
      <c r="V42" s="20"/>
      <c r="W42" s="20"/>
      <c r="X42" s="20"/>
      <c r="Y42" s="20"/>
      <c r="Z42" s="20"/>
      <c r="AA42" s="20"/>
      <c r="AB42" s="20"/>
      <c r="AC42" s="20"/>
      <c r="AD42" s="20"/>
    </row>
    <row r="43" spans="3:30">
      <c r="C43" s="19"/>
      <c r="V43" s="20"/>
      <c r="W43" s="20"/>
      <c r="X43" s="20"/>
      <c r="Y43" s="20"/>
      <c r="Z43" s="20"/>
      <c r="AA43" s="20"/>
      <c r="AB43" s="20"/>
      <c r="AC43" s="20"/>
      <c r="AD43" s="20"/>
    </row>
    <row r="44" spans="3:30">
      <c r="C44" s="19"/>
      <c r="V44" s="20"/>
      <c r="W44" s="20"/>
      <c r="X44" s="20"/>
      <c r="Y44" s="20"/>
      <c r="Z44" s="20"/>
      <c r="AA44" s="20"/>
      <c r="AB44" s="20"/>
      <c r="AC44" s="20"/>
      <c r="AD44" s="20"/>
    </row>
    <row r="45" spans="3:30">
      <c r="C45" s="19"/>
      <c r="V45" s="20"/>
      <c r="W45" s="20"/>
      <c r="X45" s="20"/>
      <c r="Y45" s="20"/>
      <c r="Z45" s="20"/>
      <c r="AA45" s="20"/>
      <c r="AB45" s="20"/>
      <c r="AC45" s="20"/>
      <c r="AD45" s="20"/>
    </row>
    <row r="46" spans="3:30">
      <c r="C46" s="19"/>
      <c r="V46" s="20"/>
      <c r="W46" s="20"/>
      <c r="X46" s="20"/>
      <c r="Y46" s="20"/>
      <c r="Z46" s="20"/>
      <c r="AA46" s="20"/>
      <c r="AB46" s="20"/>
      <c r="AC46" s="20"/>
      <c r="AD46" s="20"/>
    </row>
    <row r="47" spans="3:30">
      <c r="C47" s="19"/>
      <c r="V47" s="20"/>
      <c r="W47" s="20"/>
      <c r="X47" s="20"/>
      <c r="Y47" s="20"/>
      <c r="Z47" s="20"/>
      <c r="AA47" s="20"/>
      <c r="AB47" s="20"/>
      <c r="AC47" s="20"/>
      <c r="AD47" s="20"/>
    </row>
    <row r="48" spans="3:3">
      <c r="C48" s="19"/>
    </row>
    <row r="49" spans="3:3">
      <c r="C49" s="19"/>
    </row>
    <row r="50" spans="3:3">
      <c r="C50" s="19"/>
    </row>
    <row r="51" spans="3:3">
      <c r="C51" s="19"/>
    </row>
    <row r="52" spans="3:3">
      <c r="C52" s="19"/>
    </row>
    <row r="53" spans="3:3">
      <c r="C53" s="19"/>
    </row>
    <row r="54" spans="3:3">
      <c r="C54" s="19"/>
    </row>
    <row r="55" spans="3:3">
      <c r="C55" s="19"/>
    </row>
    <row r="56" spans="3:3">
      <c r="C56" s="19"/>
    </row>
    <row r="57" spans="3:3">
      <c r="C57" s="19"/>
    </row>
    <row r="58" spans="3:3">
      <c r="C58" s="19"/>
    </row>
    <row r="66" spans="94:96">
      <c r="CP66" s="20">
        <v>32.1</v>
      </c>
      <c r="CQ66" s="20"/>
      <c r="CR66" s="20">
        <v>6.34</v>
      </c>
    </row>
    <row r="67" spans="94:96">
      <c r="CP67" s="20">
        <v>4.4</v>
      </c>
      <c r="CQ67" s="20"/>
      <c r="CR67" s="20">
        <v>0.45</v>
      </c>
    </row>
    <row r="68" spans="94:96">
      <c r="CP68" s="20">
        <v>5.2</v>
      </c>
      <c r="CQ68" s="20"/>
      <c r="CR68" s="20">
        <v>3.95</v>
      </c>
    </row>
    <row r="69" spans="94:96">
      <c r="CP69" s="20">
        <v>4.81</v>
      </c>
      <c r="CQ69" s="20"/>
      <c r="CR69" s="20">
        <v>0.28</v>
      </c>
    </row>
    <row r="70" spans="94:96">
      <c r="CP70" s="20">
        <v>10.3</v>
      </c>
      <c r="CQ70" s="20"/>
      <c r="CR70" s="20">
        <v>1.9</v>
      </c>
    </row>
  </sheetData>
  <sortState ref="C4:FO14">
    <sortCondition ref="C4:C14"/>
  </sortState>
  <mergeCells count="140">
    <mergeCell ref="S1:X1"/>
    <mergeCell ref="Y1:AC1"/>
    <mergeCell ref="AE1:AI1"/>
    <mergeCell ref="AK1:AO1"/>
    <mergeCell ref="AQ1:AV1"/>
    <mergeCell ref="AW1:BA1"/>
    <mergeCell ref="BC1:BH1"/>
    <mergeCell ref="BI1:BM1"/>
    <mergeCell ref="BO1:BT1"/>
    <mergeCell ref="BU1:BY1"/>
    <mergeCell ref="CA1:CF1"/>
    <mergeCell ref="CG1:CL1"/>
    <mergeCell ref="CM1:CR1"/>
    <mergeCell ref="CS1:CX1"/>
    <mergeCell ref="CY1:DD1"/>
    <mergeCell ref="DE1:DJ1"/>
    <mergeCell ref="DK1:DP1"/>
    <mergeCell ref="DQ1:DV1"/>
    <mergeCell ref="DW1:EB1"/>
    <mergeCell ref="EC1:EH1"/>
    <mergeCell ref="EI1:EN1"/>
    <mergeCell ref="EO1:ET1"/>
    <mergeCell ref="EU1:EZ1"/>
    <mergeCell ref="FA1:FF1"/>
    <mergeCell ref="FG1:FL1"/>
    <mergeCell ref="FM1:FR1"/>
    <mergeCell ref="FS1:FX1"/>
    <mergeCell ref="FY1:GD1"/>
    <mergeCell ref="GE1:GJ1"/>
    <mergeCell ref="GK1:GP1"/>
    <mergeCell ref="GQ1:GV1"/>
    <mergeCell ref="GW1:HB1"/>
    <mergeCell ref="HC1:HE1"/>
    <mergeCell ref="HF1:HG1"/>
    <mergeCell ref="HI1:HN1"/>
    <mergeCell ref="HO1:HT1"/>
    <mergeCell ref="HU1:HZ1"/>
    <mergeCell ref="IA1:IF1"/>
    <mergeCell ref="IG1:IL1"/>
    <mergeCell ref="IM1:IR1"/>
    <mergeCell ref="IS1:IX1"/>
    <mergeCell ref="IY1:JD1"/>
    <mergeCell ref="JE1:JJ1"/>
    <mergeCell ref="JK1:JP1"/>
    <mergeCell ref="JQ1:JV1"/>
    <mergeCell ref="JW1:KB1"/>
    <mergeCell ref="Q2:R2"/>
    <mergeCell ref="S2:U2"/>
    <mergeCell ref="V2:X2"/>
    <mergeCell ref="Y2:AA2"/>
    <mergeCell ref="AB2:AD2"/>
    <mergeCell ref="AE2:AG2"/>
    <mergeCell ref="AH2:AJ2"/>
    <mergeCell ref="AK2:AM2"/>
    <mergeCell ref="AN2:AP2"/>
    <mergeCell ref="AQ2:AS2"/>
    <mergeCell ref="AT2:AV2"/>
    <mergeCell ref="AW2:AY2"/>
    <mergeCell ref="BC2:BE2"/>
    <mergeCell ref="BF2:BH2"/>
    <mergeCell ref="BI2:BK2"/>
    <mergeCell ref="BL2:BN2"/>
    <mergeCell ref="BO2:BQ2"/>
    <mergeCell ref="BR2:BT2"/>
    <mergeCell ref="BU2:BW2"/>
    <mergeCell ref="BX2:BZ2"/>
    <mergeCell ref="CA2:CC2"/>
    <mergeCell ref="CD2:CF2"/>
    <mergeCell ref="CG2:CI2"/>
    <mergeCell ref="CJ2:CL2"/>
    <mergeCell ref="CM2:CO2"/>
    <mergeCell ref="CP2:CR2"/>
    <mergeCell ref="CS2:CU2"/>
    <mergeCell ref="CV2:CX2"/>
    <mergeCell ref="CY2:DA2"/>
    <mergeCell ref="DB2:DD2"/>
    <mergeCell ref="DE2:DG2"/>
    <mergeCell ref="DH2:DJ2"/>
    <mergeCell ref="DK2:DM2"/>
    <mergeCell ref="DN2:DP2"/>
    <mergeCell ref="DQ2:DS2"/>
    <mergeCell ref="DT2:DV2"/>
    <mergeCell ref="DW2:DY2"/>
    <mergeCell ref="DZ2:EB2"/>
    <mergeCell ref="EC2:EE2"/>
    <mergeCell ref="EF2:EH2"/>
    <mergeCell ref="EI2:EK2"/>
    <mergeCell ref="EL2:EN2"/>
    <mergeCell ref="EO2:EQ2"/>
    <mergeCell ref="ER2:ET2"/>
    <mergeCell ref="EU2:EW2"/>
    <mergeCell ref="EX2:EZ2"/>
    <mergeCell ref="FA2:FC2"/>
    <mergeCell ref="FD2:FF2"/>
    <mergeCell ref="FG2:FI2"/>
    <mergeCell ref="FJ2:FL2"/>
    <mergeCell ref="FM2:FO2"/>
    <mergeCell ref="FP2:FR2"/>
    <mergeCell ref="FS2:FU2"/>
    <mergeCell ref="FV2:FX2"/>
    <mergeCell ref="FY2:GA2"/>
    <mergeCell ref="GB2:GD2"/>
    <mergeCell ref="GE2:GG2"/>
    <mergeCell ref="GH2:GJ2"/>
    <mergeCell ref="GK2:GM2"/>
    <mergeCell ref="GN2:GP2"/>
    <mergeCell ref="GQ2:GS2"/>
    <mergeCell ref="GT2:GV2"/>
    <mergeCell ref="GW2:GY2"/>
    <mergeCell ref="GZ2:HB2"/>
    <mergeCell ref="HI2:HK2"/>
    <mergeCell ref="HL2:HN2"/>
    <mergeCell ref="HO2:HQ2"/>
    <mergeCell ref="HR2:HT2"/>
    <mergeCell ref="HU2:HW2"/>
    <mergeCell ref="HX2:HZ2"/>
    <mergeCell ref="IA2:IC2"/>
    <mergeCell ref="ID2:IF2"/>
    <mergeCell ref="IG2:II2"/>
    <mergeCell ref="IJ2:IL2"/>
    <mergeCell ref="IM2:IO2"/>
    <mergeCell ref="IP2:IR2"/>
    <mergeCell ref="IS2:IU2"/>
    <mergeCell ref="IV2:IX2"/>
    <mergeCell ref="IY2:JA2"/>
    <mergeCell ref="JB2:JD2"/>
    <mergeCell ref="JE2:JG2"/>
    <mergeCell ref="JH2:JJ2"/>
    <mergeCell ref="JK2:JM2"/>
    <mergeCell ref="JN2:JP2"/>
    <mergeCell ref="JQ2:JS2"/>
    <mergeCell ref="JT2:JV2"/>
    <mergeCell ref="JW2:JY2"/>
    <mergeCell ref="JZ2:KC2"/>
    <mergeCell ref="HC2:HC3"/>
    <mergeCell ref="HD2:HD3"/>
    <mergeCell ref="HE2:HE3"/>
    <mergeCell ref="HF2:HF3"/>
    <mergeCell ref="HG2:HG3"/>
    <mergeCell ref="HH1:HH3"/>
  </mergeCells>
  <pageMargins left="0.7" right="0.7" top="0.75" bottom="0.75" header="0.3" footer="0.3"/>
  <pageSetup paperSize="1" orientation="portrait" horizontalDpi="3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H16"/>
  <sheetViews>
    <sheetView workbookViewId="0">
      <selection activeCell="AG3" sqref="AG3"/>
    </sheetView>
  </sheetViews>
  <sheetFormatPr defaultColWidth="9" defaultRowHeight="15"/>
  <cols>
    <col min="3" max="3" width="35.8571428571429" customWidth="1"/>
    <col min="8" max="8" width="26" customWidth="1"/>
    <col min="9" max="9" width="24.2857142857143" customWidth="1"/>
  </cols>
  <sheetData>
    <row r="1" ht="60" spans="1:64">
      <c r="A1" t="s">
        <v>228</v>
      </c>
      <c r="B1" s="1" t="s">
        <v>53</v>
      </c>
      <c r="C1" s="1" t="s">
        <v>229</v>
      </c>
      <c r="D1" s="1" t="s">
        <v>230</v>
      </c>
      <c r="E1" s="1" t="s">
        <v>56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</row>
    <row r="2" ht="255" spans="2:190">
      <c r="B2" s="2">
        <v>9</v>
      </c>
      <c r="C2" s="3" t="s">
        <v>231</v>
      </c>
      <c r="D2" s="1" t="s">
        <v>195</v>
      </c>
      <c r="E2" s="1" t="s">
        <v>87</v>
      </c>
      <c r="F2" s="1" t="s">
        <v>162</v>
      </c>
      <c r="G2" s="1" t="s">
        <v>232</v>
      </c>
      <c r="H2" s="1" t="s">
        <v>233</v>
      </c>
      <c r="I2" s="1" t="s">
        <v>177</v>
      </c>
      <c r="J2" s="1" t="s">
        <v>90</v>
      </c>
      <c r="K2" s="1" t="s">
        <v>234</v>
      </c>
      <c r="L2" s="1" t="s">
        <v>235</v>
      </c>
      <c r="M2" s="1" t="s">
        <v>236</v>
      </c>
      <c r="N2" s="7" t="s">
        <v>237</v>
      </c>
      <c r="O2" s="1" t="s">
        <v>177</v>
      </c>
      <c r="P2" s="1" t="s">
        <v>238</v>
      </c>
      <c r="Q2" s="1">
        <v>34</v>
      </c>
      <c r="R2" s="1">
        <v>34</v>
      </c>
      <c r="S2" s="9"/>
      <c r="T2" s="9"/>
      <c r="U2" s="9"/>
      <c r="V2" s="9"/>
      <c r="W2" s="9"/>
      <c r="X2" s="9"/>
      <c r="Y2" s="9">
        <v>31.2</v>
      </c>
      <c r="Z2" s="9"/>
      <c r="AA2" s="9"/>
      <c r="AB2" s="9"/>
      <c r="AC2" s="9"/>
      <c r="AD2" s="9"/>
      <c r="AE2" s="9"/>
      <c r="AF2" s="9"/>
      <c r="AG2" s="9">
        <f>12063/180</f>
        <v>67.0166666666667</v>
      </c>
      <c r="AH2" s="9"/>
      <c r="AI2" s="9"/>
      <c r="AJ2" s="9"/>
      <c r="AW2" s="10"/>
      <c r="AX2" s="10"/>
      <c r="AY2" s="10"/>
      <c r="AZ2" s="10"/>
      <c r="BA2" s="10"/>
      <c r="BB2" s="10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0"/>
      <c r="BP2" s="10"/>
      <c r="BQ2" s="10"/>
      <c r="BR2" s="10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GC2" s="9"/>
      <c r="GD2" s="9"/>
      <c r="GE2" s="9"/>
      <c r="GF2" s="9"/>
      <c r="GG2" s="9"/>
      <c r="GH2" s="9"/>
    </row>
    <row r="3" spans="2:64">
      <c r="B3" s="1"/>
      <c r="C3" s="1"/>
      <c r="D3" s="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4"/>
      <c r="T3" s="4"/>
      <c r="U3" s="1"/>
      <c r="V3" s="1"/>
      <c r="W3" s="4"/>
      <c r="X3" s="4"/>
      <c r="Y3" s="1"/>
      <c r="Z3" s="1"/>
      <c r="AA3" s="4"/>
      <c r="AB3" s="4"/>
      <c r="AC3" s="1"/>
      <c r="AD3" s="1"/>
      <c r="AE3" s="4"/>
      <c r="AF3" s="4"/>
      <c r="AG3" s="1"/>
      <c r="AH3" s="1"/>
      <c r="AI3" s="4"/>
      <c r="AJ3" s="4"/>
      <c r="AK3" s="1"/>
      <c r="AL3" s="1"/>
      <c r="AM3" s="4"/>
      <c r="AN3" s="4"/>
      <c r="AO3" s="1"/>
      <c r="AP3" s="1"/>
      <c r="AQ3" s="4"/>
      <c r="AR3" s="4"/>
      <c r="AS3" s="1"/>
      <c r="AT3" s="1"/>
      <c r="AU3" s="4"/>
      <c r="AV3" s="4"/>
      <c r="AW3" s="1"/>
      <c r="AX3" s="1"/>
      <c r="AY3" s="4"/>
      <c r="AZ3" s="4"/>
      <c r="BA3" s="1"/>
      <c r="BB3" s="1"/>
      <c r="BC3" s="4"/>
      <c r="BD3" s="4"/>
      <c r="BE3" s="1"/>
      <c r="BF3" s="1"/>
      <c r="BG3" s="4"/>
      <c r="BH3" s="4"/>
      <c r="BI3" s="8"/>
      <c r="BJ3" s="8"/>
      <c r="BK3" s="8"/>
      <c r="BL3" s="8"/>
    </row>
    <row r="4" spans="2:64">
      <c r="B4" s="1"/>
      <c r="C4" s="1"/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4"/>
      <c r="T4" s="4"/>
      <c r="U4" s="1"/>
      <c r="V4" s="1"/>
      <c r="W4" s="4"/>
      <c r="X4" s="4"/>
      <c r="Y4" s="1"/>
      <c r="Z4" s="1"/>
      <c r="AA4" s="4"/>
      <c r="AB4" s="4"/>
      <c r="AC4" s="1"/>
      <c r="AD4" s="1"/>
      <c r="AE4" s="4"/>
      <c r="AF4" s="4"/>
      <c r="AG4" s="1"/>
      <c r="AH4" s="1"/>
      <c r="AI4" s="4"/>
      <c r="AJ4" s="4"/>
      <c r="AK4" s="1"/>
      <c r="AL4" s="1"/>
      <c r="AM4" s="4"/>
      <c r="AN4" s="4"/>
      <c r="AO4" s="1"/>
      <c r="AP4" s="1"/>
      <c r="AQ4" s="4"/>
      <c r="AR4" s="4"/>
      <c r="AS4" s="1"/>
      <c r="AT4" s="1"/>
      <c r="AU4" s="4"/>
      <c r="AV4" s="4"/>
      <c r="AW4" s="1"/>
      <c r="AX4" s="1"/>
      <c r="AY4" s="4"/>
      <c r="AZ4" s="4"/>
      <c r="BA4" s="1"/>
      <c r="BB4" s="1"/>
      <c r="BC4" s="4"/>
      <c r="BD4" s="4"/>
      <c r="BE4" s="1"/>
      <c r="BF4" s="1"/>
      <c r="BG4" s="4"/>
      <c r="BH4" s="4"/>
      <c r="BI4" s="8"/>
      <c r="BJ4" s="8"/>
      <c r="BK4" s="8"/>
      <c r="BL4" s="8"/>
    </row>
    <row r="5" s="1" customFormat="1" spans="2:64">
      <c r="B5" s="2"/>
      <c r="C5" s="2"/>
      <c r="D5" s="4"/>
      <c r="S5" s="4"/>
      <c r="T5" s="4"/>
      <c r="W5" s="4"/>
      <c r="X5" s="4"/>
      <c r="AA5" s="4"/>
      <c r="AB5" s="4"/>
      <c r="AE5" s="4"/>
      <c r="AF5" s="4"/>
      <c r="AI5" s="4"/>
      <c r="AJ5" s="4"/>
      <c r="AM5" s="4"/>
      <c r="AN5" s="4"/>
      <c r="AQ5" s="4"/>
      <c r="AR5" s="4"/>
      <c r="AU5" s="4"/>
      <c r="AV5" s="4"/>
      <c r="AY5" s="4"/>
      <c r="AZ5" s="4"/>
      <c r="BC5" s="4"/>
      <c r="BD5" s="4"/>
      <c r="BG5" s="4"/>
      <c r="BH5" s="4"/>
      <c r="BI5" s="4"/>
      <c r="BJ5" s="4"/>
      <c r="BK5" s="4"/>
      <c r="BL5" s="4"/>
    </row>
    <row r="6" spans="2:6">
      <c r="B6" s="2"/>
      <c r="C6" s="1"/>
      <c r="F6">
        <f>224*0.27</f>
        <v>60.48</v>
      </c>
    </row>
    <row r="7" spans="6:6">
      <c r="F7">
        <f>177*0.27</f>
        <v>47.79</v>
      </c>
    </row>
    <row r="16" spans="4:7">
      <c r="D16" s="1"/>
      <c r="E16" s="5"/>
      <c r="F16" s="1"/>
      <c r="G16" s="6"/>
    </row>
  </sheetData>
  <mergeCells count="13">
    <mergeCell ref="Q1:T1"/>
    <mergeCell ref="U1:X1"/>
    <mergeCell ref="Y1:AB1"/>
    <mergeCell ref="AC1:AF1"/>
    <mergeCell ref="AG1:AJ1"/>
    <mergeCell ref="AK1:AN1"/>
    <mergeCell ref="AO1:AR1"/>
    <mergeCell ref="AS1:AV1"/>
    <mergeCell ref="AW1:AZ1"/>
    <mergeCell ref="BA1:BD1"/>
    <mergeCell ref="BE1:BH1"/>
    <mergeCell ref="BI1:BJ1"/>
    <mergeCell ref="BK1:BL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Hardik Jethliya</cp:lastModifiedBy>
  <dcterms:created xsi:type="dcterms:W3CDTF">2006-09-16T00:00:00Z</dcterms:created>
  <dcterms:modified xsi:type="dcterms:W3CDTF">2021-07-02T14:50:22Z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1033-11.2.0.10176</vt:lpwstr>
  </property>
</Properties>
</file>